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producto (suelto)" sheetId="2" state="visible" r:id="rId2"/>
    <sheet xmlns:r="http://schemas.openxmlformats.org/officeDocument/2006/relationships" name="Pedido medio (2 artículos)" sheetId="3" state="visible" r:id="rId3"/>
    <sheet xmlns:r="http://schemas.openxmlformats.org/officeDocument/2006/relationships" name="Packs" sheetId="4" state="visible" r:id="rId4"/>
    <sheet xmlns:r="http://schemas.openxmlformats.org/officeDocument/2006/relationships" name="Escenarios de pedido" sheetId="5" state="visible" r:id="rId5"/>
    <sheet xmlns:r="http://schemas.openxmlformats.org/officeDocument/2006/relationships" name="Tarifas y méto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11111"/>
      <sz val="16"/>
    </font>
    <font>
      <name val="Calibri"/>
      <color rgb="00666666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4F5E9"/>
      </patternFill>
    </fill>
    <fill>
      <patternFill patternType="solid">
        <fgColor rgb="00F7F7F6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bottom style="thin">
        <color rgb="00E3E3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3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3" fillId="3" borderId="1" pivotButton="0" quotePrefix="0" xfId="0"/>
    <xf numFmtId="165" fontId="4" fillId="0" borderId="1" pivotButton="0" quotePrefix="0" xfId="0"/>
    <xf numFmtId="0" fontId="3" fillId="4" borderId="1" pivotButton="0" quotePrefix="0" xfId="0"/>
    <xf numFmtId="0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4" fontId="3" fillId="5" borderId="1" pivotButton="0" quotePrefix="0" xfId="0"/>
    <xf numFmtId="164" fontId="3" fillId="0" borderId="0" pivotButton="0" quotePrefix="0" xfId="0"/>
    <xf numFmtId="164" fontId="3" fillId="0" borderId="1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2" customWidth="1" min="1" max="1"/>
    <col width="52" customWidth="1" min="2" max="2"/>
  </cols>
  <sheetData>
    <row r="1">
      <c r="A1" s="1" t="inlineStr">
        <is>
          <t>GRANKHA · Beneficio real, producto por producto</t>
        </is>
      </c>
    </row>
    <row r="2">
      <c r="A2" s="2" t="inlineStr">
        <is>
          <t>Todo descontado: IVA repercutido, coste del proveedor, envío real de AW, embalaje, Stripe, devoluciones y donación interna. Precios de venta con IVA (21 %) incluido.</t>
        </is>
      </c>
    </row>
    <row r="4">
      <c r="A4" s="3" t="inlineStr">
        <is>
          <t>Productos analizados</t>
        </is>
      </c>
      <c r="B4" s="4" t="inlineStr">
        <is>
          <t>38</t>
        </is>
      </c>
    </row>
    <row r="5">
      <c r="A5" s="3" t="inlineStr">
        <is>
          <t>Packs analizados</t>
        </is>
      </c>
      <c r="B5" s="4" t="inlineStr">
        <is>
          <t>6</t>
        </is>
      </c>
    </row>
    <row r="6">
      <c r="A6" s="3" t="inlineStr">
        <is>
          <t>Beneficio medio por producto vendido (venta suelta)</t>
        </is>
      </c>
      <c r="B6" s="4" t="inlineStr">
        <is>
          <t>9.39 €</t>
        </is>
      </c>
    </row>
    <row r="7">
      <c r="A7" s="3" t="inlineStr">
        <is>
          <t>Margen medio sobre el precio de venta</t>
        </is>
      </c>
      <c r="B7" s="4" t="inlineStr">
        <is>
          <t>28.0 %</t>
        </is>
      </c>
    </row>
    <row r="8">
      <c r="A8" s="3" t="inlineStr">
        <is>
          <t>Margen medio sobre el ingreso neto (sin IVA)</t>
        </is>
      </c>
      <c r="B8" s="4" t="inlineStr">
        <is>
          <t>33.9 %</t>
        </is>
      </c>
    </row>
    <row r="9">
      <c r="A9" s="3" t="inlineStr">
        <is>
          <t>Producto que más deja</t>
        </is>
      </c>
      <c r="B9" s="4" t="inlineStr">
        <is>
          <t>Cama tienda (iglú) · 14.48 €</t>
        </is>
      </c>
    </row>
    <row r="10">
      <c r="A10" s="3" t="inlineStr">
        <is>
          <t>Producto que menos deja</t>
        </is>
      </c>
      <c r="B10" s="4" t="inlineStr">
        <is>
          <t>Correa Pocket Pod · 4.63 €</t>
        </is>
      </c>
    </row>
    <row r="11">
      <c r="A11" s="3" t="inlineStr">
        <is>
          <t>Coste de envío del proveedor (real, verificado)</t>
        </is>
      </c>
      <c r="B11" s="4" t="inlineStr">
        <is>
          <t>2,95 € ≤1 kg · 4,00 € 1-5 kg · 6,50 € &gt;5 kg (sin IVA)</t>
        </is>
      </c>
    </row>
    <row r="12">
      <c r="A12" s="3" t="inlineStr">
        <is>
          <t>Lo que cobramos por envío (península)</t>
        </is>
      </c>
      <c r="B12" s="4" t="inlineStr">
        <is>
          <t>5,95 € &lt;20 € · 3,95 € 20-39 € · gratis ≥39 €</t>
        </is>
      </c>
    </row>
    <row r="14">
      <c r="A14" s="3" t="inlineStr">
        <is>
          <t>Cómo se calcula (tu orden de descuento)</t>
        </is>
      </c>
    </row>
    <row r="15">
      <c r="A15" s="4" t="inlineStr">
        <is>
          <t>1. Precio de venta con IVA incluido (lo que paga el cliente).</t>
        </is>
      </c>
    </row>
    <row r="16">
      <c r="A16" s="4" t="inlineStr">
        <is>
          <t>2. − IVA repercutido del 21 % → queda el ingreso neto.</t>
        </is>
      </c>
    </row>
    <row r="17">
      <c r="A17" s="4" t="inlineStr">
        <is>
          <t>3. − Coste del proveedor (precio profesional de AW; su IVA soportado es deducible).</t>
        </is>
      </c>
    </row>
    <row r="18">
      <c r="A18" s="4" t="inlineStr">
        <is>
          <t>4. − Envío del proveedor: tarifa REAL por tramos de peso del pedido (no una estimación).</t>
        </is>
      </c>
    </row>
    <row r="19">
      <c r="A19" s="4" t="inlineStr">
        <is>
          <t>5. − Embalaje y etiqueta (0,60 €/pedido) y − comisión de Stripe (1,5 % + 0,25 €).</t>
        </is>
      </c>
    </row>
    <row r="20">
      <c r="A20" s="4" t="inlineStr">
        <is>
          <t>6. − Provisión de devoluciones (3 % × 8 €) y − donación interna (5 % del beneficio bruto).</t>
        </is>
      </c>
    </row>
    <row r="21">
      <c r="A21" s="4" t="inlineStr">
        <is>
          <t>7. + Envío que paga el cliente (5,95 / 3,95 € o 0 € según tramo), descontado su IVA.</t>
        </is>
      </c>
    </row>
    <row r="22">
      <c r="A22" s="4">
        <f> Beneficio real que se te queda por unidad vendida.</f>
        <v/>
      </c>
    </row>
    <row r="24">
      <c r="A24" s="3" t="inlineStr">
        <is>
          <t>Dos avisos importantes</t>
        </is>
      </c>
    </row>
    <row r="25">
      <c r="A25" s="5" t="inlineStr">
        <is>
          <t>· La donación es interna: no aparece en la web ni en la factura del cliente. Se calcula como el 5 % del beneficio bruto del producto (ingreso neto − coste del proveedor), igual que en el sistema de pago.</t>
        </is>
      </c>
    </row>
    <row r="26">
      <c r="A26" s="5" t="inlineStr">
        <is>
          <t>· Canarias, Ceuta y Melilla: AW las sirve sin IVA y con aduana a cargo del destinatario; su tarifa no está publicada. Los 14,95 € que cobramos pueden quedarse cortos: confírmalo en el panel antes de vender allí.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2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1" customWidth="1" min="10" max="10"/>
    <col width="10" customWidth="1" min="11" max="11"/>
    <col width="12" customWidth="1" min="12" max="12"/>
    <col width="12" customWidth="1" min="13" max="13"/>
    <col width="14" customWidth="1" min="14" max="14"/>
    <col width="9" customWidth="1" min="15" max="15"/>
    <col width="10" customWidth="1" min="16" max="16"/>
    <col width="13" customWidth="1" min="17" max="17"/>
    <col width="15" customWidth="1" min="18" max="18"/>
  </cols>
  <sheetData>
    <row r="1">
      <c r="A1" s="1" t="inlineStr">
        <is>
          <t>Venta de una sola unidad, enviada a península o Baleares</t>
        </is>
      </c>
    </row>
    <row r="2">
      <c r="A2" s="2" t="inlineStr">
        <is>
          <t>El cliente paga el envío según el tramo de su cesta (5,95 € / 3,95 € / gratis desde 39 €). Última columna: beneficio si el pedido llegase a 39 € y el envío fuese gratis.</t>
        </is>
      </c>
    </row>
    <row r="4">
      <c r="A4" s="6" t="inlineStr">
        <is>
          <t>SKU</t>
        </is>
      </c>
      <c r="B4" s="6" t="inlineStr">
        <is>
          <t>Producto</t>
        </is>
      </c>
      <c r="C4" s="6" t="inlineStr">
        <is>
          <t>Categoría</t>
        </is>
      </c>
      <c r="D4" s="6" t="inlineStr">
        <is>
          <t>Peso paq. (g)</t>
        </is>
      </c>
      <c r="E4" s="6" t="inlineStr">
        <is>
          <t>PVP (IVA incl.)</t>
        </is>
      </c>
      <c r="F4" s="6" t="inlineStr">
        <is>
          <t>− IVA 21 %</t>
        </is>
      </c>
      <c r="G4" s="6">
        <f> Ingreso neto</f>
        <v/>
      </c>
      <c r="H4" s="6" t="inlineStr">
        <is>
          <t>− Coste proveedor</t>
        </is>
      </c>
      <c r="I4" s="6" t="inlineStr">
        <is>
          <t>− Envío AW</t>
        </is>
      </c>
      <c r="J4" s="6" t="inlineStr">
        <is>
          <t>− Embalaje</t>
        </is>
      </c>
      <c r="K4" s="6" t="inlineStr">
        <is>
          <t>− Stripe</t>
        </is>
      </c>
      <c r="L4" s="6" t="inlineStr">
        <is>
          <t>− Devoluciones</t>
        </is>
      </c>
      <c r="M4" s="6" t="inlineStr">
        <is>
          <t>− Donación 5 %</t>
        </is>
      </c>
      <c r="N4" s="6">
        <f> BENEFICIO REAL</f>
        <v/>
      </c>
      <c r="O4" s="6" t="inlineStr">
        <is>
          <t>% s/ PVP</t>
        </is>
      </c>
      <c r="P4" s="6" t="inlineStr">
        <is>
          <t>% s/ neto</t>
        </is>
      </c>
      <c r="Q4" s="6" t="inlineStr">
        <is>
          <t>Envío cobrado</t>
        </is>
      </c>
      <c r="R4" s="6" t="inlineStr">
        <is>
          <t>Beneficio si envío gratis</t>
        </is>
      </c>
    </row>
    <row r="5">
      <c r="A5" s="7" t="inlineStr">
        <is>
          <t>PawB-14</t>
        </is>
      </c>
      <c r="B5" s="8" t="inlineStr">
        <is>
          <t>Cama tienda (iglú) · 58 × 58 × 48 cm · Beige y naranja</t>
        </is>
      </c>
      <c r="C5" s="8" t="inlineStr">
        <is>
          <t>Descanso</t>
        </is>
      </c>
      <c r="D5" s="8" t="n">
        <v>650</v>
      </c>
      <c r="E5" s="9" t="n">
        <v>57.9</v>
      </c>
      <c r="F5" s="9" t="n">
        <v>10.05</v>
      </c>
      <c r="G5" s="9" t="n">
        <v>47.85</v>
      </c>
      <c r="H5" s="9" t="n">
        <v>27.44</v>
      </c>
      <c r="I5" s="9" t="n">
        <v>2.95</v>
      </c>
      <c r="J5" s="9" t="n">
        <v>0.6</v>
      </c>
      <c r="K5" s="9" t="n">
        <v>1.12</v>
      </c>
      <c r="L5" s="9" t="n">
        <v>0.24</v>
      </c>
      <c r="M5" s="9" t="n">
        <v>1.02</v>
      </c>
      <c r="N5" s="10" t="n">
        <v>14.48</v>
      </c>
      <c r="O5" s="11" t="n">
        <v>0.2500863557858377</v>
      </c>
      <c r="P5" s="11" t="n">
        <v>0.3026044905008636</v>
      </c>
      <c r="Q5" s="9" t="n">
        <v>0</v>
      </c>
      <c r="R5" s="9" t="n">
        <v>14.48</v>
      </c>
    </row>
    <row r="6">
      <c r="A6" s="12" t="inlineStr">
        <is>
          <t>PAWFB-09</t>
        </is>
      </c>
      <c r="B6" s="13" t="inlineStr">
        <is>
          <t>Filtros de repuesto para fuente · Pack de 4 · compatible con la fuente GRANKHA</t>
        </is>
      </c>
      <c r="C6" s="13" t="inlineStr">
        <is>
          <t>Hidratación</t>
        </is>
      </c>
      <c r="D6" s="13" t="n">
        <v>160</v>
      </c>
      <c r="E6" s="14" t="n">
        <v>18.9</v>
      </c>
      <c r="F6" s="14" t="n">
        <v>3.28</v>
      </c>
      <c r="G6" s="14" t="n">
        <v>15.62</v>
      </c>
      <c r="H6" s="14" t="n">
        <v>2.1</v>
      </c>
      <c r="I6" s="14" t="n">
        <v>2.95</v>
      </c>
      <c r="J6" s="14" t="n">
        <v>0.6</v>
      </c>
      <c r="K6" s="14" t="n">
        <v>0.62</v>
      </c>
      <c r="L6" s="14" t="n">
        <v>0.24</v>
      </c>
      <c r="M6" s="14" t="n">
        <v>0.68</v>
      </c>
      <c r="N6" s="10" t="n">
        <v>13.35</v>
      </c>
      <c r="O6" s="15" t="n">
        <v>0.7063492063492064</v>
      </c>
      <c r="P6" s="15" t="n">
        <v>0.8546825396825397</v>
      </c>
      <c r="Q6" s="14" t="n">
        <v>5.95</v>
      </c>
      <c r="R6" s="14" t="n">
        <v>8.52</v>
      </c>
    </row>
    <row r="7">
      <c r="A7" s="7" t="inlineStr">
        <is>
          <t>PawB-08</t>
        </is>
      </c>
      <c r="B7" s="8" t="inlineStr">
        <is>
          <t>Cama sofá · Mediana · 60 × 60 × 28 cm · Rayas marrones</t>
        </is>
      </c>
      <c r="C7" s="8" t="inlineStr">
        <is>
          <t>Descanso</t>
        </is>
      </c>
      <c r="D7" s="8" t="n">
        <v>1570</v>
      </c>
      <c r="E7" s="9" t="n">
        <v>56.9</v>
      </c>
      <c r="F7" s="9" t="n">
        <v>9.880000000000001</v>
      </c>
      <c r="G7" s="9" t="n">
        <v>47.02</v>
      </c>
      <c r="H7" s="9" t="n">
        <v>27.44</v>
      </c>
      <c r="I7" s="9" t="n">
        <v>4</v>
      </c>
      <c r="J7" s="9" t="n">
        <v>0.6</v>
      </c>
      <c r="K7" s="9" t="n">
        <v>1.1</v>
      </c>
      <c r="L7" s="9" t="n">
        <v>0.24</v>
      </c>
      <c r="M7" s="9" t="n">
        <v>0.98</v>
      </c>
      <c r="N7" s="10" t="n">
        <v>12.66</v>
      </c>
      <c r="O7" s="11" t="n">
        <v>0.2224956063268893</v>
      </c>
      <c r="P7" s="11" t="n">
        <v>0.2692196836555361</v>
      </c>
      <c r="Q7" s="9" t="n">
        <v>0</v>
      </c>
      <c r="R7" s="9" t="n">
        <v>12.66</v>
      </c>
    </row>
    <row r="8">
      <c r="A8" s="12" t="inlineStr">
        <is>
          <t>PawB-12</t>
        </is>
      </c>
      <c r="B8" s="13" t="inlineStr">
        <is>
          <t>Cama Patita · Grande · 70 cm · Felpa beige</t>
        </is>
      </c>
      <c r="C8" s="13" t="inlineStr">
        <is>
          <t>Descanso</t>
        </is>
      </c>
      <c r="D8" s="13" t="n">
        <v>1360</v>
      </c>
      <c r="E8" s="14" t="n">
        <v>49.9</v>
      </c>
      <c r="F8" s="14" t="n">
        <v>8.66</v>
      </c>
      <c r="G8" s="14" t="n">
        <v>41.24</v>
      </c>
      <c r="H8" s="14" t="n">
        <v>22.63</v>
      </c>
      <c r="I8" s="14" t="n">
        <v>4</v>
      </c>
      <c r="J8" s="14" t="n">
        <v>0.6</v>
      </c>
      <c r="K8" s="14" t="n">
        <v>1</v>
      </c>
      <c r="L8" s="14" t="n">
        <v>0.24</v>
      </c>
      <c r="M8" s="14" t="n">
        <v>0.93</v>
      </c>
      <c r="N8" s="10" t="n">
        <v>11.84</v>
      </c>
      <c r="O8" s="15" t="n">
        <v>0.2372745490981964</v>
      </c>
      <c r="P8" s="15" t="n">
        <v>0.2871022044088176</v>
      </c>
      <c r="Q8" s="14" t="n">
        <v>0</v>
      </c>
      <c r="R8" s="14" t="n">
        <v>11.84</v>
      </c>
    </row>
    <row r="9">
      <c r="A9" s="7" t="inlineStr">
        <is>
          <t>PawB-04</t>
        </is>
      </c>
      <c r="B9" s="8" t="inlineStr">
        <is>
          <t>Cama acolchada caqui · Mediana · 70 × 60 × 15 cm · Caqui beige</t>
        </is>
      </c>
      <c r="C9" s="8" t="inlineStr">
        <is>
          <t>Descanso</t>
        </is>
      </c>
      <c r="D9" s="8" t="n">
        <v>1600</v>
      </c>
      <c r="E9" s="9" t="n">
        <v>52.9</v>
      </c>
      <c r="F9" s="9" t="n">
        <v>9.18</v>
      </c>
      <c r="G9" s="9" t="n">
        <v>43.72</v>
      </c>
      <c r="H9" s="9" t="n">
        <v>25.19</v>
      </c>
      <c r="I9" s="9" t="n">
        <v>4</v>
      </c>
      <c r="J9" s="9" t="n">
        <v>0.6</v>
      </c>
      <c r="K9" s="9" t="n">
        <v>1.04</v>
      </c>
      <c r="L9" s="9" t="n">
        <v>0.24</v>
      </c>
      <c r="M9" s="9" t="n">
        <v>0.93</v>
      </c>
      <c r="N9" s="10" t="n">
        <v>11.72</v>
      </c>
      <c r="O9" s="11" t="n">
        <v>0.2215500945179584</v>
      </c>
      <c r="P9" s="11" t="n">
        <v>0.2680756143667297</v>
      </c>
      <c r="Q9" s="9" t="n">
        <v>0</v>
      </c>
      <c r="R9" s="9" t="n">
        <v>11.72</v>
      </c>
    </row>
    <row r="10">
      <c r="A10" s="12" t="inlineStr">
        <is>
          <t>PAWFB-06</t>
        </is>
      </c>
      <c r="B10" s="13" t="inlineStr">
        <is>
          <t>Comedero de cerámica con soporte de madera · Ø 14 cm · Cerámica + madera</t>
        </is>
      </c>
      <c r="C10" s="13" t="inlineStr">
        <is>
          <t>Hogar</t>
        </is>
      </c>
      <c r="D10" s="13" t="n">
        <v>799</v>
      </c>
      <c r="E10" s="14" t="n">
        <v>29.9</v>
      </c>
      <c r="F10" s="14" t="n">
        <v>5.19</v>
      </c>
      <c r="G10" s="14" t="n">
        <v>24.71</v>
      </c>
      <c r="H10" s="14" t="n">
        <v>11.25</v>
      </c>
      <c r="I10" s="14" t="n">
        <v>2.95</v>
      </c>
      <c r="J10" s="14" t="n">
        <v>0.6</v>
      </c>
      <c r="K10" s="14" t="n">
        <v>0.76</v>
      </c>
      <c r="L10" s="14" t="n">
        <v>0.24</v>
      </c>
      <c r="M10" s="14" t="n">
        <v>0.67</v>
      </c>
      <c r="N10" s="10" t="n">
        <v>11.51</v>
      </c>
      <c r="O10" s="15" t="n">
        <v>0.3849498327759198</v>
      </c>
      <c r="P10" s="15" t="n">
        <v>0.4657892976588628</v>
      </c>
      <c r="Q10" s="14" t="n">
        <v>3.95</v>
      </c>
      <c r="R10" s="14" t="n">
        <v>8.300000000000001</v>
      </c>
    </row>
    <row r="11">
      <c r="A11" s="7" t="inlineStr">
        <is>
          <t>PawB-13</t>
        </is>
      </c>
      <c r="B11" s="8" t="inlineStr">
        <is>
          <t>Cama tienda (iglú) · 48 × 48 × 40 cm · Verde y naranja</t>
        </is>
      </c>
      <c r="C11" s="8" t="inlineStr">
        <is>
          <t>Descanso</t>
        </is>
      </c>
      <c r="D11" s="8" t="n">
        <v>500</v>
      </c>
      <c r="E11" s="9" t="n">
        <v>44.9</v>
      </c>
      <c r="F11" s="9" t="n">
        <v>7.79</v>
      </c>
      <c r="G11" s="9" t="n">
        <v>37.11</v>
      </c>
      <c r="H11" s="9" t="n">
        <v>20.13</v>
      </c>
      <c r="I11" s="9" t="n">
        <v>2.95</v>
      </c>
      <c r="J11" s="9" t="n">
        <v>0.6</v>
      </c>
      <c r="K11" s="9" t="n">
        <v>0.92</v>
      </c>
      <c r="L11" s="9" t="n">
        <v>0.24</v>
      </c>
      <c r="M11" s="9" t="n">
        <v>0.85</v>
      </c>
      <c r="N11" s="10" t="n">
        <v>11.42</v>
      </c>
      <c r="O11" s="11" t="n">
        <v>0.2543429844097996</v>
      </c>
      <c r="P11" s="11" t="n">
        <v>0.3077550111358575</v>
      </c>
      <c r="Q11" s="9" t="n">
        <v>0</v>
      </c>
      <c r="R11" s="9" t="n">
        <v>11.42</v>
      </c>
    </row>
    <row r="12">
      <c r="A12" s="12" t="inlineStr">
        <is>
          <t>PawB-05</t>
        </is>
      </c>
      <c r="B12" s="13" t="inlineStr">
        <is>
          <t>Cama Lucky Elephant · 60 × 50 × 14 cm · Estampado rojo</t>
        </is>
      </c>
      <c r="C12" s="13" t="inlineStr">
        <is>
          <t>Descanso</t>
        </is>
      </c>
      <c r="D12" s="13" t="n">
        <v>960</v>
      </c>
      <c r="E12" s="14" t="n">
        <v>37.9</v>
      </c>
      <c r="F12" s="14" t="n">
        <v>6.58</v>
      </c>
      <c r="G12" s="14" t="n">
        <v>31.32</v>
      </c>
      <c r="H12" s="14" t="n">
        <v>16.81</v>
      </c>
      <c r="I12" s="14" t="n">
        <v>4</v>
      </c>
      <c r="J12" s="14" t="n">
        <v>0.6</v>
      </c>
      <c r="K12" s="14" t="n">
        <v>0.88</v>
      </c>
      <c r="L12" s="14" t="n">
        <v>0.24</v>
      </c>
      <c r="M12" s="14" t="n">
        <v>0.73</v>
      </c>
      <c r="N12" s="10" t="n">
        <v>11.33</v>
      </c>
      <c r="O12" s="15" t="n">
        <v>0.2989445910290238</v>
      </c>
      <c r="P12" s="15" t="n">
        <v>0.3617229551451188</v>
      </c>
      <c r="Q12" s="14" t="n">
        <v>3.95</v>
      </c>
      <c r="R12" s="14" t="n">
        <v>8.119999999999999</v>
      </c>
    </row>
    <row r="13">
      <c r="A13" s="7" t="inlineStr">
        <is>
          <t>PawB-06</t>
        </is>
      </c>
      <c r="B13" s="8" t="inlineStr">
        <is>
          <t>Cama Lucky Elephant · 60 × 50 × 14 cm · Estampado verde</t>
        </is>
      </c>
      <c r="C13" s="8" t="inlineStr">
        <is>
          <t>Descanso</t>
        </is>
      </c>
      <c r="D13" s="8" t="n">
        <v>960</v>
      </c>
      <c r="E13" s="9" t="n">
        <v>37.9</v>
      </c>
      <c r="F13" s="9" t="n">
        <v>6.58</v>
      </c>
      <c r="G13" s="9" t="n">
        <v>31.32</v>
      </c>
      <c r="H13" s="9" t="n">
        <v>16.81</v>
      </c>
      <c r="I13" s="9" t="n">
        <v>4</v>
      </c>
      <c r="J13" s="9" t="n">
        <v>0.6</v>
      </c>
      <c r="K13" s="9" t="n">
        <v>0.88</v>
      </c>
      <c r="L13" s="9" t="n">
        <v>0.24</v>
      </c>
      <c r="M13" s="9" t="n">
        <v>0.73</v>
      </c>
      <c r="N13" s="10" t="n">
        <v>11.33</v>
      </c>
      <c r="O13" s="11" t="n">
        <v>0.2989445910290238</v>
      </c>
      <c r="P13" s="11" t="n">
        <v>0.3617229551451188</v>
      </c>
      <c r="Q13" s="9" t="n">
        <v>3.95</v>
      </c>
      <c r="R13" s="9" t="n">
        <v>8.119999999999999</v>
      </c>
    </row>
    <row r="14">
      <c r="A14" s="12" t="inlineStr">
        <is>
          <t>PawB-11</t>
        </is>
      </c>
      <c r="B14" s="13" t="inlineStr">
        <is>
          <t>Cama Patita · Mediana · 60 cm · Felpa beige</t>
        </is>
      </c>
      <c r="C14" s="13" t="inlineStr">
        <is>
          <t>Descanso</t>
        </is>
      </c>
      <c r="D14" s="13" t="n">
        <v>1000</v>
      </c>
      <c r="E14" s="14" t="n">
        <v>42.9</v>
      </c>
      <c r="F14" s="14" t="n">
        <v>7.45</v>
      </c>
      <c r="G14" s="14" t="n">
        <v>35.45</v>
      </c>
      <c r="H14" s="14" t="n">
        <v>18.13</v>
      </c>
      <c r="I14" s="14" t="n">
        <v>4</v>
      </c>
      <c r="J14" s="14" t="n">
        <v>0.6</v>
      </c>
      <c r="K14" s="14" t="n">
        <v>0.89</v>
      </c>
      <c r="L14" s="14" t="n">
        <v>0.24</v>
      </c>
      <c r="M14" s="14" t="n">
        <v>0.87</v>
      </c>
      <c r="N14" s="10" t="n">
        <v>10.72</v>
      </c>
      <c r="O14" s="15" t="n">
        <v>0.2498834498834499</v>
      </c>
      <c r="P14" s="15" t="n">
        <v>0.3023589743589744</v>
      </c>
      <c r="Q14" s="14" t="n">
        <v>0</v>
      </c>
      <c r="R14" s="14" t="n">
        <v>10.72</v>
      </c>
    </row>
    <row r="15">
      <c r="A15" s="7" t="inlineStr">
        <is>
          <t>PawB-10</t>
        </is>
      </c>
      <c r="B15" s="8" t="inlineStr">
        <is>
          <t>Cama Corona Real · Grande · 50 × 50 × 26 cm · Negro y gris</t>
        </is>
      </c>
      <c r="C15" s="8" t="inlineStr">
        <is>
          <t>Descanso</t>
        </is>
      </c>
      <c r="D15" s="8" t="n">
        <v>1000</v>
      </c>
      <c r="E15" s="9" t="n">
        <v>46.9</v>
      </c>
      <c r="F15" s="9" t="n">
        <v>8.140000000000001</v>
      </c>
      <c r="G15" s="9" t="n">
        <v>38.76</v>
      </c>
      <c r="H15" s="9" t="n">
        <v>21.75</v>
      </c>
      <c r="I15" s="9" t="n">
        <v>4</v>
      </c>
      <c r="J15" s="9" t="n">
        <v>0.6</v>
      </c>
      <c r="K15" s="9" t="n">
        <v>0.95</v>
      </c>
      <c r="L15" s="9" t="n">
        <v>0.24</v>
      </c>
      <c r="M15" s="9" t="n">
        <v>0.85</v>
      </c>
      <c r="N15" s="10" t="n">
        <v>10.37</v>
      </c>
      <c r="O15" s="11" t="n">
        <v>0.2211087420042644</v>
      </c>
      <c r="P15" s="11" t="n">
        <v>0.2675415778251599</v>
      </c>
      <c r="Q15" s="9" t="n">
        <v>0</v>
      </c>
      <c r="R15" s="9" t="n">
        <v>10.37</v>
      </c>
    </row>
    <row r="16">
      <c r="A16" s="12" t="inlineStr">
        <is>
          <t>PAWFB-04</t>
        </is>
      </c>
      <c r="B16" s="13" t="inlineStr">
        <is>
          <t>Comedero doble con soporte de madera · 2 × 12 cm · Acero 201 + madera</t>
        </is>
      </c>
      <c r="C16" s="13" t="inlineStr">
        <is>
          <t>Hogar</t>
        </is>
      </c>
      <c r="D16" s="13" t="n">
        <v>450</v>
      </c>
      <c r="E16" s="14" t="n">
        <v>39.9</v>
      </c>
      <c r="F16" s="14" t="n">
        <v>6.92</v>
      </c>
      <c r="G16" s="14" t="n">
        <v>32.98</v>
      </c>
      <c r="H16" s="14" t="n">
        <v>17.25</v>
      </c>
      <c r="I16" s="14" t="n">
        <v>2.95</v>
      </c>
      <c r="J16" s="14" t="n">
        <v>0.6</v>
      </c>
      <c r="K16" s="14" t="n">
        <v>0.85</v>
      </c>
      <c r="L16" s="14" t="n">
        <v>0.24</v>
      </c>
      <c r="M16" s="14" t="n">
        <v>0.79</v>
      </c>
      <c r="N16" s="10" t="n">
        <v>10.3</v>
      </c>
      <c r="O16" s="15" t="n">
        <v>0.2581453634085213</v>
      </c>
      <c r="P16" s="15" t="n">
        <v>0.3123558897243108</v>
      </c>
      <c r="Q16" s="14" t="n">
        <v>0</v>
      </c>
      <c r="R16" s="14" t="n">
        <v>10.3</v>
      </c>
    </row>
    <row r="17">
      <c r="A17" s="7" t="inlineStr">
        <is>
          <t>PawB-01</t>
        </is>
      </c>
      <c r="B17" s="8" t="inlineStr">
        <is>
          <t>Cama Teddy · Pequeña · 60 × 45 × 17 cm · Peluche marrón</t>
        </is>
      </c>
      <c r="C17" s="8" t="inlineStr">
        <is>
          <t>Descanso</t>
        </is>
      </c>
      <c r="D17" s="8" t="n">
        <v>760</v>
      </c>
      <c r="E17" s="9" t="n">
        <v>34.9</v>
      </c>
      <c r="F17" s="9" t="n">
        <v>6.06</v>
      </c>
      <c r="G17" s="9" t="n">
        <v>28.84</v>
      </c>
      <c r="H17" s="9" t="n">
        <v>16.81</v>
      </c>
      <c r="I17" s="9" t="n">
        <v>2.95</v>
      </c>
      <c r="J17" s="9" t="n">
        <v>0.6</v>
      </c>
      <c r="K17" s="9" t="n">
        <v>0.83</v>
      </c>
      <c r="L17" s="9" t="n">
        <v>0.24</v>
      </c>
      <c r="M17" s="9" t="n">
        <v>0.6</v>
      </c>
      <c r="N17" s="10" t="n">
        <v>10.08</v>
      </c>
      <c r="O17" s="11" t="n">
        <v>0.2888252148997135</v>
      </c>
      <c r="P17" s="11" t="n">
        <v>0.3494785100286533</v>
      </c>
      <c r="Q17" s="9" t="n">
        <v>3.95</v>
      </c>
      <c r="R17" s="9" t="n">
        <v>6.87</v>
      </c>
    </row>
    <row r="18">
      <c r="A18" s="12" t="inlineStr">
        <is>
          <t>PAWH-01</t>
        </is>
      </c>
      <c r="B18" s="13" t="inlineStr">
        <is>
          <t>Arnés de paso Guardian · XS (2-4 kg) · Rosa suave · Cuarzo rosa</t>
        </is>
      </c>
      <c r="C18" s="13" t="inlineStr">
        <is>
          <t>Guardian</t>
        </is>
      </c>
      <c r="D18" s="13" t="n">
        <v>110</v>
      </c>
      <c r="E18" s="14" t="n">
        <v>36.9</v>
      </c>
      <c r="F18" s="14" t="n">
        <v>6.4</v>
      </c>
      <c r="G18" s="14" t="n">
        <v>30.5</v>
      </c>
      <c r="H18" s="14" t="n">
        <v>18.63</v>
      </c>
      <c r="I18" s="14" t="n">
        <v>2.95</v>
      </c>
      <c r="J18" s="14" t="n">
        <v>0.6</v>
      </c>
      <c r="K18" s="14" t="n">
        <v>0.86</v>
      </c>
      <c r="L18" s="14" t="n">
        <v>0.24</v>
      </c>
      <c r="M18" s="14" t="n">
        <v>0.59</v>
      </c>
      <c r="N18" s="10" t="n">
        <v>9.890000000000001</v>
      </c>
      <c r="O18" s="15" t="n">
        <v>0.2680216802168022</v>
      </c>
      <c r="P18" s="15" t="n">
        <v>0.3243062330623306</v>
      </c>
      <c r="Q18" s="14" t="n">
        <v>3.95</v>
      </c>
      <c r="R18" s="14" t="n">
        <v>6.69</v>
      </c>
    </row>
    <row r="19">
      <c r="A19" s="7" t="inlineStr">
        <is>
          <t>PAWH-02</t>
        </is>
      </c>
      <c r="B19" s="8" t="inlineStr">
        <is>
          <t>Arnés de paso Guardian · XS (2-4 kg) · Lavanda · Amatista</t>
        </is>
      </c>
      <c r="C19" s="8" t="inlineStr">
        <is>
          <t>Guardian</t>
        </is>
      </c>
      <c r="D19" s="8" t="n">
        <v>110</v>
      </c>
      <c r="E19" s="9" t="n">
        <v>36.9</v>
      </c>
      <c r="F19" s="9" t="n">
        <v>6.4</v>
      </c>
      <c r="G19" s="9" t="n">
        <v>30.5</v>
      </c>
      <c r="H19" s="9" t="n">
        <v>18.63</v>
      </c>
      <c r="I19" s="9" t="n">
        <v>2.95</v>
      </c>
      <c r="J19" s="9" t="n">
        <v>0.6</v>
      </c>
      <c r="K19" s="9" t="n">
        <v>0.86</v>
      </c>
      <c r="L19" s="9" t="n">
        <v>0.24</v>
      </c>
      <c r="M19" s="9" t="n">
        <v>0.59</v>
      </c>
      <c r="N19" s="10" t="n">
        <v>9.890000000000001</v>
      </c>
      <c r="O19" s="11" t="n">
        <v>0.2680216802168022</v>
      </c>
      <c r="P19" s="11" t="n">
        <v>0.3243062330623306</v>
      </c>
      <c r="Q19" s="9" t="n">
        <v>3.95</v>
      </c>
      <c r="R19" s="9" t="n">
        <v>6.69</v>
      </c>
    </row>
    <row r="20">
      <c r="A20" s="12" t="inlineStr">
        <is>
          <t>PAWH-03</t>
        </is>
      </c>
      <c r="B20" s="13" t="inlineStr">
        <is>
          <t>Arnés de paso Guardian · XS (2-4 kg) · Rock Grey · Obsidiana negra</t>
        </is>
      </c>
      <c r="C20" s="13" t="inlineStr">
        <is>
          <t>Guardian</t>
        </is>
      </c>
      <c r="D20" s="13" t="n">
        <v>110</v>
      </c>
      <c r="E20" s="14" t="n">
        <v>36.9</v>
      </c>
      <c r="F20" s="14" t="n">
        <v>6.4</v>
      </c>
      <c r="G20" s="14" t="n">
        <v>30.5</v>
      </c>
      <c r="H20" s="14" t="n">
        <v>18.63</v>
      </c>
      <c r="I20" s="14" t="n">
        <v>2.95</v>
      </c>
      <c r="J20" s="14" t="n">
        <v>0.6</v>
      </c>
      <c r="K20" s="14" t="n">
        <v>0.86</v>
      </c>
      <c r="L20" s="14" t="n">
        <v>0.24</v>
      </c>
      <c r="M20" s="14" t="n">
        <v>0.59</v>
      </c>
      <c r="N20" s="10" t="n">
        <v>9.890000000000001</v>
      </c>
      <c r="O20" s="15" t="n">
        <v>0.2680216802168022</v>
      </c>
      <c r="P20" s="15" t="n">
        <v>0.3243062330623306</v>
      </c>
      <c r="Q20" s="14" t="n">
        <v>3.95</v>
      </c>
      <c r="R20" s="14" t="n">
        <v>6.69</v>
      </c>
    </row>
    <row r="21">
      <c r="A21" s="7" t="inlineStr">
        <is>
          <t>PAWH-04</t>
        </is>
      </c>
      <c r="B21" s="8" t="inlineStr">
        <is>
          <t>Arnés de paso Guardian · S (4-8 kg) · Rosa suave · Cuarzo rosa</t>
        </is>
      </c>
      <c r="C21" s="8" t="inlineStr">
        <is>
          <t>Guardian</t>
        </is>
      </c>
      <c r="D21" s="8" t="n">
        <v>120</v>
      </c>
      <c r="E21" s="9" t="n">
        <v>36.9</v>
      </c>
      <c r="F21" s="9" t="n">
        <v>6.4</v>
      </c>
      <c r="G21" s="9" t="n">
        <v>30.5</v>
      </c>
      <c r="H21" s="9" t="n">
        <v>18.63</v>
      </c>
      <c r="I21" s="9" t="n">
        <v>2.95</v>
      </c>
      <c r="J21" s="9" t="n">
        <v>0.6</v>
      </c>
      <c r="K21" s="9" t="n">
        <v>0.86</v>
      </c>
      <c r="L21" s="9" t="n">
        <v>0.24</v>
      </c>
      <c r="M21" s="9" t="n">
        <v>0.59</v>
      </c>
      <c r="N21" s="10" t="n">
        <v>9.890000000000001</v>
      </c>
      <c r="O21" s="11" t="n">
        <v>0.2680216802168022</v>
      </c>
      <c r="P21" s="11" t="n">
        <v>0.3243062330623306</v>
      </c>
      <c r="Q21" s="9" t="n">
        <v>3.95</v>
      </c>
      <c r="R21" s="9" t="n">
        <v>6.69</v>
      </c>
    </row>
    <row r="22">
      <c r="A22" s="12" t="inlineStr">
        <is>
          <t>PAWH-05</t>
        </is>
      </c>
      <c r="B22" s="13" t="inlineStr">
        <is>
          <t>Arnés de paso Guardian · S (4-8 kg) · Lavanda · Amatista</t>
        </is>
      </c>
      <c r="C22" s="13" t="inlineStr">
        <is>
          <t>Guardian</t>
        </is>
      </c>
      <c r="D22" s="13" t="n">
        <v>120</v>
      </c>
      <c r="E22" s="14" t="n">
        <v>36.9</v>
      </c>
      <c r="F22" s="14" t="n">
        <v>6.4</v>
      </c>
      <c r="G22" s="14" t="n">
        <v>30.5</v>
      </c>
      <c r="H22" s="14" t="n">
        <v>18.63</v>
      </c>
      <c r="I22" s="14" t="n">
        <v>2.95</v>
      </c>
      <c r="J22" s="14" t="n">
        <v>0.6</v>
      </c>
      <c r="K22" s="14" t="n">
        <v>0.86</v>
      </c>
      <c r="L22" s="14" t="n">
        <v>0.24</v>
      </c>
      <c r="M22" s="14" t="n">
        <v>0.59</v>
      </c>
      <c r="N22" s="10" t="n">
        <v>9.890000000000001</v>
      </c>
      <c r="O22" s="15" t="n">
        <v>0.2680216802168022</v>
      </c>
      <c r="P22" s="15" t="n">
        <v>0.3243062330623306</v>
      </c>
      <c r="Q22" s="14" t="n">
        <v>3.95</v>
      </c>
      <c r="R22" s="14" t="n">
        <v>6.69</v>
      </c>
    </row>
    <row r="23">
      <c r="A23" s="7" t="inlineStr">
        <is>
          <t>PAWH-06</t>
        </is>
      </c>
      <c r="B23" s="8" t="inlineStr">
        <is>
          <t>Arnés de paso Guardian · S (4-8 kg) · Gris roca · Obsidiana negra</t>
        </is>
      </c>
      <c r="C23" s="8" t="inlineStr">
        <is>
          <t>Guardian</t>
        </is>
      </c>
      <c r="D23" s="8" t="n">
        <v>120</v>
      </c>
      <c r="E23" s="9" t="n">
        <v>36.9</v>
      </c>
      <c r="F23" s="9" t="n">
        <v>6.4</v>
      </c>
      <c r="G23" s="9" t="n">
        <v>30.5</v>
      </c>
      <c r="H23" s="9" t="n">
        <v>18.63</v>
      </c>
      <c r="I23" s="9" t="n">
        <v>2.95</v>
      </c>
      <c r="J23" s="9" t="n">
        <v>0.6</v>
      </c>
      <c r="K23" s="9" t="n">
        <v>0.86</v>
      </c>
      <c r="L23" s="9" t="n">
        <v>0.24</v>
      </c>
      <c r="M23" s="9" t="n">
        <v>0.59</v>
      </c>
      <c r="N23" s="10" t="n">
        <v>9.890000000000001</v>
      </c>
      <c r="O23" s="11" t="n">
        <v>0.2680216802168022</v>
      </c>
      <c r="P23" s="11" t="n">
        <v>0.3243062330623306</v>
      </c>
      <c r="Q23" s="9" t="n">
        <v>3.95</v>
      </c>
      <c r="R23" s="9" t="n">
        <v>6.69</v>
      </c>
    </row>
    <row r="24">
      <c r="A24" s="12" t="inlineStr">
        <is>
          <t>PawB-09</t>
        </is>
      </c>
      <c r="B24" s="13" t="inlineStr">
        <is>
          <t>Cama Corona Real · Mediana · 50 × 50 × 26 cm · Arena y gris</t>
        </is>
      </c>
      <c r="C24" s="13" t="inlineStr">
        <is>
          <t>Descanso</t>
        </is>
      </c>
      <c r="D24" s="13" t="n">
        <v>840</v>
      </c>
      <c r="E24" s="14" t="n">
        <v>39.9</v>
      </c>
      <c r="F24" s="14" t="n">
        <v>6.92</v>
      </c>
      <c r="G24" s="14" t="n">
        <v>32.98</v>
      </c>
      <c r="H24" s="14" t="n">
        <v>18</v>
      </c>
      <c r="I24" s="14" t="n">
        <v>2.95</v>
      </c>
      <c r="J24" s="14" t="n">
        <v>0.6</v>
      </c>
      <c r="K24" s="14" t="n">
        <v>0.85</v>
      </c>
      <c r="L24" s="14" t="n">
        <v>0.24</v>
      </c>
      <c r="M24" s="14" t="n">
        <v>0.75</v>
      </c>
      <c r="N24" s="10" t="n">
        <v>9.59</v>
      </c>
      <c r="O24" s="15" t="n">
        <v>0.2403508771929825</v>
      </c>
      <c r="P24" s="15" t="n">
        <v>0.2908245614035088</v>
      </c>
      <c r="Q24" s="14" t="n">
        <v>0</v>
      </c>
      <c r="R24" s="14" t="n">
        <v>9.59</v>
      </c>
    </row>
    <row r="25">
      <c r="A25" s="7" t="inlineStr">
        <is>
          <t>PAWFB-03</t>
        </is>
      </c>
      <c r="B25" s="8" t="inlineStr">
        <is>
          <t>Comedero de acero con soporte de madera · Ø 12 cm · Acero 201 + madera natural</t>
        </is>
      </c>
      <c r="C25" s="8" t="inlineStr">
        <is>
          <t>Hogar</t>
        </is>
      </c>
      <c r="D25" s="8" t="n">
        <v>243</v>
      </c>
      <c r="E25" s="9" t="n">
        <v>26.9</v>
      </c>
      <c r="F25" s="9" t="n">
        <v>4.67</v>
      </c>
      <c r="G25" s="9" t="n">
        <v>22.23</v>
      </c>
      <c r="H25" s="9" t="n">
        <v>10.88</v>
      </c>
      <c r="I25" s="9" t="n">
        <v>2.95</v>
      </c>
      <c r="J25" s="9" t="n">
        <v>0.6</v>
      </c>
      <c r="K25" s="9" t="n">
        <v>0.71</v>
      </c>
      <c r="L25" s="9" t="n">
        <v>0.24</v>
      </c>
      <c r="M25" s="9" t="n">
        <v>0.57</v>
      </c>
      <c r="N25" s="10" t="n">
        <v>9.550000000000001</v>
      </c>
      <c r="O25" s="11" t="n">
        <v>0.3550185873605948</v>
      </c>
      <c r="P25" s="11" t="n">
        <v>0.4295724907063198</v>
      </c>
      <c r="Q25" s="9" t="n">
        <v>3.95</v>
      </c>
      <c r="R25" s="9" t="n">
        <v>6.34</v>
      </c>
    </row>
    <row r="26">
      <c r="A26" s="12" t="inlineStr">
        <is>
          <t>PAWFB-05</t>
        </is>
      </c>
      <c r="B26" s="13" t="inlineStr">
        <is>
          <t>Comedero doble grande con soporte de madera · 2 × 13 cm · Acero 201 + madera</t>
        </is>
      </c>
      <c r="C26" s="13" t="inlineStr">
        <is>
          <t>Hogar</t>
        </is>
      </c>
      <c r="D26" s="13" t="n">
        <v>1020</v>
      </c>
      <c r="E26" s="14" t="n">
        <v>44.9</v>
      </c>
      <c r="F26" s="14" t="n">
        <v>7.79</v>
      </c>
      <c r="G26" s="14" t="n">
        <v>37.11</v>
      </c>
      <c r="H26" s="14" t="n">
        <v>21</v>
      </c>
      <c r="I26" s="14" t="n">
        <v>4</v>
      </c>
      <c r="J26" s="14" t="n">
        <v>0.6</v>
      </c>
      <c r="K26" s="14" t="n">
        <v>0.92</v>
      </c>
      <c r="L26" s="14" t="n">
        <v>0.24</v>
      </c>
      <c r="M26" s="14" t="n">
        <v>0.8100000000000001</v>
      </c>
      <c r="N26" s="10" t="n">
        <v>9.539999999999999</v>
      </c>
      <c r="O26" s="15" t="n">
        <v>0.2124721603563474</v>
      </c>
      <c r="P26" s="15" t="n">
        <v>0.2570913140311804</v>
      </c>
      <c r="Q26" s="14" t="n">
        <v>0</v>
      </c>
      <c r="R26" s="14" t="n">
        <v>9.539999999999999</v>
      </c>
    </row>
    <row r="27">
      <c r="A27" s="7" t="inlineStr">
        <is>
          <t>PawB-02</t>
        </is>
      </c>
      <c r="B27" s="8" t="inlineStr">
        <is>
          <t>Cama Teddy · Mediana · 70 × 55 × 18 cm · Peluche marrón</t>
        </is>
      </c>
      <c r="C27" s="8" t="inlineStr">
        <is>
          <t>Descanso</t>
        </is>
      </c>
      <c r="D27" s="8" t="n">
        <v>1000</v>
      </c>
      <c r="E27" s="9" t="n">
        <v>44.9</v>
      </c>
      <c r="F27" s="9" t="n">
        <v>7.79</v>
      </c>
      <c r="G27" s="9" t="n">
        <v>37.11</v>
      </c>
      <c r="H27" s="9" t="n">
        <v>21.31</v>
      </c>
      <c r="I27" s="9" t="n">
        <v>4</v>
      </c>
      <c r="J27" s="9" t="n">
        <v>0.6</v>
      </c>
      <c r="K27" s="9" t="n">
        <v>0.92</v>
      </c>
      <c r="L27" s="9" t="n">
        <v>0.24</v>
      </c>
      <c r="M27" s="9" t="n">
        <v>0.79</v>
      </c>
      <c r="N27" s="10" t="n">
        <v>9.25</v>
      </c>
      <c r="O27" s="11" t="n">
        <v>0.2060133630289532</v>
      </c>
      <c r="P27" s="11" t="n">
        <v>0.2492761692650334</v>
      </c>
      <c r="Q27" s="9" t="n">
        <v>0</v>
      </c>
      <c r="R27" s="9" t="n">
        <v>9.25</v>
      </c>
    </row>
    <row r="28">
      <c r="A28" s="12" t="inlineStr">
        <is>
          <t>PAWFB-07</t>
        </is>
      </c>
      <c r="B28" s="13" t="inlineStr">
        <is>
          <t>Comedero para gatos con soporte · Acero inoxidable 304 · cara de gato</t>
        </is>
      </c>
      <c r="C28" s="13" t="inlineStr">
        <is>
          <t>Hogar</t>
        </is>
      </c>
      <c r="D28" s="13" t="n">
        <v>196</v>
      </c>
      <c r="E28" s="14" t="n">
        <v>17.9</v>
      </c>
      <c r="F28" s="14" t="n">
        <v>3.11</v>
      </c>
      <c r="G28" s="14" t="n">
        <v>14.79</v>
      </c>
      <c r="H28" s="14" t="n">
        <v>6</v>
      </c>
      <c r="I28" s="14" t="n">
        <v>2.95</v>
      </c>
      <c r="J28" s="14" t="n">
        <v>0.6</v>
      </c>
      <c r="K28" s="14" t="n">
        <v>0.61</v>
      </c>
      <c r="L28" s="14" t="n">
        <v>0.24</v>
      </c>
      <c r="M28" s="14" t="n">
        <v>0.44</v>
      </c>
      <c r="N28" s="10" t="n">
        <v>8.869999999999999</v>
      </c>
      <c r="O28" s="15" t="n">
        <v>0.4955307262569832</v>
      </c>
      <c r="P28" s="15" t="n">
        <v>0.5995921787709497</v>
      </c>
      <c r="Q28" s="14" t="n">
        <v>5.95</v>
      </c>
      <c r="R28" s="14" t="n">
        <v>4.04</v>
      </c>
    </row>
    <row r="29">
      <c r="A29" s="7" t="inlineStr">
        <is>
          <t>PawB-07</t>
        </is>
      </c>
      <c r="B29" s="8" t="inlineStr">
        <is>
          <t>Cama sofá · Pequeña · 50 × 50 × 26 cm · Rayas marrones</t>
        </is>
      </c>
      <c r="C29" s="8" t="inlineStr">
        <is>
          <t>Descanso</t>
        </is>
      </c>
      <c r="D29" s="8" t="n">
        <v>1250</v>
      </c>
      <c r="E29" s="9" t="n">
        <v>44.9</v>
      </c>
      <c r="F29" s="9" t="n">
        <v>7.79</v>
      </c>
      <c r="G29" s="9" t="n">
        <v>37.11</v>
      </c>
      <c r="H29" s="9" t="n">
        <v>21.75</v>
      </c>
      <c r="I29" s="9" t="n">
        <v>4</v>
      </c>
      <c r="J29" s="9" t="n">
        <v>0.6</v>
      </c>
      <c r="K29" s="9" t="n">
        <v>0.92</v>
      </c>
      <c r="L29" s="9" t="n">
        <v>0.24</v>
      </c>
      <c r="M29" s="9" t="n">
        <v>0.77</v>
      </c>
      <c r="N29" s="10" t="n">
        <v>8.83</v>
      </c>
      <c r="O29" s="11" t="n">
        <v>0.1966592427616927</v>
      </c>
      <c r="P29" s="11" t="n">
        <v>0.2379576837416481</v>
      </c>
      <c r="Q29" s="9" t="n">
        <v>0</v>
      </c>
      <c r="R29" s="9" t="n">
        <v>8.83</v>
      </c>
    </row>
    <row r="30">
      <c r="A30" s="12" t="inlineStr">
        <is>
          <t>PAWFB-02</t>
        </is>
      </c>
      <c r="B30" s="13" t="inlineStr">
        <is>
          <t>Comedero estilo cobre grande · Ø 22 cm · Acero inoxidable 304</t>
        </is>
      </c>
      <c r="C30" s="13" t="inlineStr">
        <is>
          <t>Hogar</t>
        </is>
      </c>
      <c r="D30" s="13" t="n">
        <v>141</v>
      </c>
      <c r="E30" s="14" t="n">
        <v>16.9</v>
      </c>
      <c r="F30" s="14" t="n">
        <v>2.93</v>
      </c>
      <c r="G30" s="14" t="n">
        <v>13.97</v>
      </c>
      <c r="H30" s="14" t="n">
        <v>5.25</v>
      </c>
      <c r="I30" s="14" t="n">
        <v>2.95</v>
      </c>
      <c r="J30" s="14" t="n">
        <v>0.6</v>
      </c>
      <c r="K30" s="14" t="n">
        <v>0.59</v>
      </c>
      <c r="L30" s="14" t="n">
        <v>0.24</v>
      </c>
      <c r="M30" s="14" t="n">
        <v>0.44</v>
      </c>
      <c r="N30" s="10" t="n">
        <v>8.81</v>
      </c>
      <c r="O30" s="15" t="n">
        <v>0.5213017751479291</v>
      </c>
      <c r="P30" s="15" t="n">
        <v>0.6307751479289941</v>
      </c>
      <c r="Q30" s="14" t="n">
        <v>5.95</v>
      </c>
      <c r="R30" s="14" t="n">
        <v>3.99</v>
      </c>
    </row>
    <row r="31">
      <c r="A31" s="7" t="inlineStr">
        <is>
          <t>PawL-07</t>
        </is>
      </c>
      <c r="B31" s="8" t="inlineStr">
        <is>
          <t>Correa Elephant · Azul · 2 m</t>
        </is>
      </c>
      <c r="C31" s="8" t="inlineStr">
        <is>
          <t>Elephant</t>
        </is>
      </c>
      <c r="D31" s="8" t="n">
        <v>189</v>
      </c>
      <c r="E31" s="9" t="n">
        <v>34.9</v>
      </c>
      <c r="F31" s="9" t="n">
        <v>6.06</v>
      </c>
      <c r="G31" s="9" t="n">
        <v>28.84</v>
      </c>
      <c r="H31" s="9" t="n">
        <v>18.75</v>
      </c>
      <c r="I31" s="9" t="n">
        <v>2.95</v>
      </c>
      <c r="J31" s="9" t="n">
        <v>0.6</v>
      </c>
      <c r="K31" s="9" t="n">
        <v>0.83</v>
      </c>
      <c r="L31" s="9" t="n">
        <v>0.24</v>
      </c>
      <c r="M31" s="9" t="n">
        <v>0.5</v>
      </c>
      <c r="N31" s="10" t="n">
        <v>8.24</v>
      </c>
      <c r="O31" s="11" t="n">
        <v>0.2361031518624642</v>
      </c>
      <c r="P31" s="11" t="n">
        <v>0.2856848137535817</v>
      </c>
      <c r="Q31" s="9" t="n">
        <v>3.95</v>
      </c>
      <c r="R31" s="9" t="n">
        <v>5.03</v>
      </c>
    </row>
    <row r="32">
      <c r="A32" s="12" t="inlineStr">
        <is>
          <t>PawL-08</t>
        </is>
      </c>
      <c r="B32" s="13" t="inlineStr">
        <is>
          <t>Correa Elephant · Marrón · 2 m</t>
        </is>
      </c>
      <c r="C32" s="13" t="inlineStr">
        <is>
          <t>Elephant</t>
        </is>
      </c>
      <c r="D32" s="13" t="n">
        <v>189</v>
      </c>
      <c r="E32" s="14" t="n">
        <v>34.9</v>
      </c>
      <c r="F32" s="14" t="n">
        <v>6.06</v>
      </c>
      <c r="G32" s="14" t="n">
        <v>28.84</v>
      </c>
      <c r="H32" s="14" t="n">
        <v>18.75</v>
      </c>
      <c r="I32" s="14" t="n">
        <v>2.95</v>
      </c>
      <c r="J32" s="14" t="n">
        <v>0.6</v>
      </c>
      <c r="K32" s="14" t="n">
        <v>0.83</v>
      </c>
      <c r="L32" s="14" t="n">
        <v>0.24</v>
      </c>
      <c r="M32" s="14" t="n">
        <v>0.5</v>
      </c>
      <c r="N32" s="10" t="n">
        <v>8.24</v>
      </c>
      <c r="O32" s="15" t="n">
        <v>0.2361031518624642</v>
      </c>
      <c r="P32" s="15" t="n">
        <v>0.2856848137535817</v>
      </c>
      <c r="Q32" s="14" t="n">
        <v>3.95</v>
      </c>
      <c r="R32" s="14" t="n">
        <v>5.03</v>
      </c>
    </row>
    <row r="33">
      <c r="A33" s="7" t="inlineStr">
        <is>
          <t>PawL-09</t>
        </is>
      </c>
      <c r="B33" s="8" t="inlineStr">
        <is>
          <t>Correa Elephant · Gris · 2 m</t>
        </is>
      </c>
      <c r="C33" s="8" t="inlineStr">
        <is>
          <t>Elephant</t>
        </is>
      </c>
      <c r="D33" s="8" t="n">
        <v>189</v>
      </c>
      <c r="E33" s="9" t="n">
        <v>34.9</v>
      </c>
      <c r="F33" s="9" t="n">
        <v>6.06</v>
      </c>
      <c r="G33" s="9" t="n">
        <v>28.84</v>
      </c>
      <c r="H33" s="9" t="n">
        <v>18.75</v>
      </c>
      <c r="I33" s="9" t="n">
        <v>2.95</v>
      </c>
      <c r="J33" s="9" t="n">
        <v>0.6</v>
      </c>
      <c r="K33" s="9" t="n">
        <v>0.83</v>
      </c>
      <c r="L33" s="9" t="n">
        <v>0.24</v>
      </c>
      <c r="M33" s="9" t="n">
        <v>0.5</v>
      </c>
      <c r="N33" s="10" t="n">
        <v>8.24</v>
      </c>
      <c r="O33" s="11" t="n">
        <v>0.2361031518624642</v>
      </c>
      <c r="P33" s="11" t="n">
        <v>0.2856848137535817</v>
      </c>
      <c r="Q33" s="9" t="n">
        <v>3.95</v>
      </c>
      <c r="R33" s="9" t="n">
        <v>5.03</v>
      </c>
    </row>
    <row r="34">
      <c r="A34" s="12" t="inlineStr">
        <is>
          <t>PAWFB-08</t>
        </is>
      </c>
      <c r="B34" s="13" t="inlineStr">
        <is>
          <t>Fuente de agua eléctrica 2,5 L · Acero inoxidable 304 · alimentación USB</t>
        </is>
      </c>
      <c r="C34" s="13" t="inlineStr">
        <is>
          <t>Hidratación</t>
        </is>
      </c>
      <c r="D34" s="13" t="n">
        <v>690</v>
      </c>
      <c r="E34" s="14" t="n">
        <v>49.9</v>
      </c>
      <c r="F34" s="14" t="n">
        <v>8.66</v>
      </c>
      <c r="G34" s="14" t="n">
        <v>41.24</v>
      </c>
      <c r="H34" s="14" t="n">
        <v>28.5</v>
      </c>
      <c r="I34" s="14" t="n">
        <v>2.95</v>
      </c>
      <c r="J34" s="14" t="n">
        <v>0.6</v>
      </c>
      <c r="K34" s="14" t="n">
        <v>1</v>
      </c>
      <c r="L34" s="14" t="n">
        <v>0.24</v>
      </c>
      <c r="M34" s="14" t="n">
        <v>0.64</v>
      </c>
      <c r="N34" s="10" t="n">
        <v>7.31</v>
      </c>
      <c r="O34" s="15" t="n">
        <v>0.1464929859719439</v>
      </c>
      <c r="P34" s="15" t="n">
        <v>0.1772565130260521</v>
      </c>
      <c r="Q34" s="14" t="n">
        <v>0</v>
      </c>
      <c r="R34" s="14" t="n">
        <v>7.31</v>
      </c>
    </row>
    <row r="35">
      <c r="A35" s="7" t="inlineStr">
        <is>
          <t>PawL-04</t>
        </is>
      </c>
      <c r="B35" s="8" t="inlineStr">
        <is>
          <t>Correa Mini Mango · Amarillo · 3 m</t>
        </is>
      </c>
      <c r="C35" s="8" t="inlineStr">
        <is>
          <t>Mini Mango</t>
        </is>
      </c>
      <c r="D35" s="8" t="n">
        <v>122</v>
      </c>
      <c r="E35" s="9" t="n">
        <v>29.9</v>
      </c>
      <c r="F35" s="9" t="n">
        <v>5.19</v>
      </c>
      <c r="G35" s="9" t="n">
        <v>24.71</v>
      </c>
      <c r="H35" s="9" t="n">
        <v>15.75</v>
      </c>
      <c r="I35" s="9" t="n">
        <v>2.95</v>
      </c>
      <c r="J35" s="9" t="n">
        <v>0.6</v>
      </c>
      <c r="K35" s="9" t="n">
        <v>0.76</v>
      </c>
      <c r="L35" s="9" t="n">
        <v>0.24</v>
      </c>
      <c r="M35" s="9" t="n">
        <v>0.45</v>
      </c>
      <c r="N35" s="10" t="n">
        <v>7.23</v>
      </c>
      <c r="O35" s="11" t="n">
        <v>0.2418060200668897</v>
      </c>
      <c r="P35" s="11" t="n">
        <v>0.2925852842809365</v>
      </c>
      <c r="Q35" s="9" t="n">
        <v>3.95</v>
      </c>
      <c r="R35" s="9" t="n">
        <v>4.02</v>
      </c>
    </row>
    <row r="36">
      <c r="A36" s="12" t="inlineStr">
        <is>
          <t>PawL-05</t>
        </is>
      </c>
      <c r="B36" s="13" t="inlineStr">
        <is>
          <t>Correa Mini Mango · Ciruela · 3 m</t>
        </is>
      </c>
      <c r="C36" s="13" t="inlineStr">
        <is>
          <t>Mini Mango</t>
        </is>
      </c>
      <c r="D36" s="13" t="n">
        <v>122</v>
      </c>
      <c r="E36" s="14" t="n">
        <v>29.9</v>
      </c>
      <c r="F36" s="14" t="n">
        <v>5.19</v>
      </c>
      <c r="G36" s="14" t="n">
        <v>24.71</v>
      </c>
      <c r="H36" s="14" t="n">
        <v>15.75</v>
      </c>
      <c r="I36" s="14" t="n">
        <v>2.95</v>
      </c>
      <c r="J36" s="14" t="n">
        <v>0.6</v>
      </c>
      <c r="K36" s="14" t="n">
        <v>0.76</v>
      </c>
      <c r="L36" s="14" t="n">
        <v>0.24</v>
      </c>
      <c r="M36" s="14" t="n">
        <v>0.45</v>
      </c>
      <c r="N36" s="10" t="n">
        <v>7.23</v>
      </c>
      <c r="O36" s="15" t="n">
        <v>0.2418060200668897</v>
      </c>
      <c r="P36" s="15" t="n">
        <v>0.2925852842809365</v>
      </c>
      <c r="Q36" s="14" t="n">
        <v>3.95</v>
      </c>
      <c r="R36" s="14" t="n">
        <v>4.02</v>
      </c>
    </row>
    <row r="37">
      <c r="A37" s="7" t="inlineStr">
        <is>
          <t>PawL-06</t>
        </is>
      </c>
      <c r="B37" s="8" t="inlineStr">
        <is>
          <t>Correa Mini Mango · Durazno · 3 m</t>
        </is>
      </c>
      <c r="C37" s="8" t="inlineStr">
        <is>
          <t>Mini Mango</t>
        </is>
      </c>
      <c r="D37" s="8" t="n">
        <v>122</v>
      </c>
      <c r="E37" s="9" t="n">
        <v>29.9</v>
      </c>
      <c r="F37" s="9" t="n">
        <v>5.19</v>
      </c>
      <c r="G37" s="9" t="n">
        <v>24.71</v>
      </c>
      <c r="H37" s="9" t="n">
        <v>15.75</v>
      </c>
      <c r="I37" s="9" t="n">
        <v>2.95</v>
      </c>
      <c r="J37" s="9" t="n">
        <v>0.6</v>
      </c>
      <c r="K37" s="9" t="n">
        <v>0.76</v>
      </c>
      <c r="L37" s="9" t="n">
        <v>0.24</v>
      </c>
      <c r="M37" s="9" t="n">
        <v>0.45</v>
      </c>
      <c r="N37" s="10" t="n">
        <v>7.23</v>
      </c>
      <c r="O37" s="11" t="n">
        <v>0.2418060200668897</v>
      </c>
      <c r="P37" s="11" t="n">
        <v>0.2925852842809365</v>
      </c>
      <c r="Q37" s="9" t="n">
        <v>3.95</v>
      </c>
      <c r="R37" s="9" t="n">
        <v>4.02</v>
      </c>
    </row>
    <row r="38">
      <c r="A38" s="12" t="inlineStr">
        <is>
          <t>PAWFB-01</t>
        </is>
      </c>
      <c r="B38" s="13" t="inlineStr">
        <is>
          <t>Comedero estilo cobre · Ø 18 cm · Acero inoxidable 304</t>
        </is>
      </c>
      <c r="C38" s="13" t="inlineStr">
        <is>
          <t>Hogar</t>
        </is>
      </c>
      <c r="D38" s="13" t="n">
        <v>103</v>
      </c>
      <c r="E38" s="14" t="n">
        <v>13.9</v>
      </c>
      <c r="F38" s="14" t="n">
        <v>2.41</v>
      </c>
      <c r="G38" s="14" t="n">
        <v>11.49</v>
      </c>
      <c r="H38" s="14" t="n">
        <v>4.5</v>
      </c>
      <c r="I38" s="14" t="n">
        <v>2.95</v>
      </c>
      <c r="J38" s="14" t="n">
        <v>0.6</v>
      </c>
      <c r="K38" s="14" t="n">
        <v>0.55</v>
      </c>
      <c r="L38" s="14" t="n">
        <v>0.24</v>
      </c>
      <c r="M38" s="14" t="n">
        <v>0.35</v>
      </c>
      <c r="N38" s="10" t="n">
        <v>7.21</v>
      </c>
      <c r="O38" s="15" t="n">
        <v>0.518705035971223</v>
      </c>
      <c r="P38" s="15" t="n">
        <v>0.6276330935251798</v>
      </c>
      <c r="Q38" s="14" t="n">
        <v>5.95</v>
      </c>
      <c r="R38" s="14" t="n">
        <v>2.39</v>
      </c>
    </row>
    <row r="39">
      <c r="A39" s="7" t="inlineStr">
        <is>
          <t>PawB-03</t>
        </is>
      </c>
      <c r="B39" s="8" t="inlineStr">
        <is>
          <t>Cama acolchada caqui · Pequeña · 60 × 50 × 15 cm · Verde caqui</t>
        </is>
      </c>
      <c r="C39" s="8" t="inlineStr">
        <is>
          <t>Descanso</t>
        </is>
      </c>
      <c r="D39" s="8" t="n">
        <v>1330</v>
      </c>
      <c r="E39" s="9" t="n">
        <v>39.9</v>
      </c>
      <c r="F39" s="9" t="n">
        <v>6.92</v>
      </c>
      <c r="G39" s="9" t="n">
        <v>32.98</v>
      </c>
      <c r="H39" s="9" t="n">
        <v>19.69</v>
      </c>
      <c r="I39" s="9" t="n">
        <v>4</v>
      </c>
      <c r="J39" s="9" t="n">
        <v>0.6</v>
      </c>
      <c r="K39" s="9" t="n">
        <v>0.85</v>
      </c>
      <c r="L39" s="9" t="n">
        <v>0.24</v>
      </c>
      <c r="M39" s="9" t="n">
        <v>0.66</v>
      </c>
      <c r="N39" s="10" t="n">
        <v>6.94</v>
      </c>
      <c r="O39" s="11" t="n">
        <v>0.1739348370927319</v>
      </c>
      <c r="P39" s="11" t="n">
        <v>0.2104611528822055</v>
      </c>
      <c r="Q39" s="9" t="n">
        <v>0</v>
      </c>
      <c r="R39" s="9" t="n">
        <v>6.94</v>
      </c>
    </row>
    <row r="40">
      <c r="A40" s="12" t="inlineStr">
        <is>
          <t>PawL-01</t>
        </is>
      </c>
      <c r="B40" s="13" t="inlineStr">
        <is>
          <t>Correa Pocket Pod · Rosa · 1,5 m</t>
        </is>
      </c>
      <c r="C40" s="13" t="inlineStr">
        <is>
          <t>Pocket Pod</t>
        </is>
      </c>
      <c r="D40" s="13" t="n">
        <v>112</v>
      </c>
      <c r="E40" s="14" t="n">
        <v>21.9</v>
      </c>
      <c r="F40" s="14" t="n">
        <v>3.8</v>
      </c>
      <c r="G40" s="14" t="n">
        <v>18.1</v>
      </c>
      <c r="H40" s="14" t="n">
        <v>12</v>
      </c>
      <c r="I40" s="14" t="n">
        <v>2.95</v>
      </c>
      <c r="J40" s="14" t="n">
        <v>0.6</v>
      </c>
      <c r="K40" s="14" t="n">
        <v>0.64</v>
      </c>
      <c r="L40" s="14" t="n">
        <v>0.24</v>
      </c>
      <c r="M40" s="14" t="n">
        <v>0.3</v>
      </c>
      <c r="N40" s="16" t="n">
        <v>4.63</v>
      </c>
      <c r="O40" s="15" t="n">
        <v>0.2114155251141553</v>
      </c>
      <c r="P40" s="15" t="n">
        <v>0.2558127853881279</v>
      </c>
      <c r="Q40" s="14" t="n">
        <v>3.95</v>
      </c>
      <c r="R40" s="14" t="n">
        <v>1.43</v>
      </c>
    </row>
    <row r="41">
      <c r="A41" s="7" t="inlineStr">
        <is>
          <t>PawL-02</t>
        </is>
      </c>
      <c r="B41" s="8" t="inlineStr">
        <is>
          <t>Correa Pocket Pod · Verde · 1,5 m</t>
        </is>
      </c>
      <c r="C41" s="8" t="inlineStr">
        <is>
          <t>Pocket Pod</t>
        </is>
      </c>
      <c r="D41" s="8" t="n">
        <v>112</v>
      </c>
      <c r="E41" s="9" t="n">
        <v>21.9</v>
      </c>
      <c r="F41" s="9" t="n">
        <v>3.8</v>
      </c>
      <c r="G41" s="9" t="n">
        <v>18.1</v>
      </c>
      <c r="H41" s="9" t="n">
        <v>12</v>
      </c>
      <c r="I41" s="9" t="n">
        <v>2.95</v>
      </c>
      <c r="J41" s="9" t="n">
        <v>0.6</v>
      </c>
      <c r="K41" s="9" t="n">
        <v>0.64</v>
      </c>
      <c r="L41" s="9" t="n">
        <v>0.24</v>
      </c>
      <c r="M41" s="9" t="n">
        <v>0.3</v>
      </c>
      <c r="N41" s="16" t="n">
        <v>4.63</v>
      </c>
      <c r="O41" s="11" t="n">
        <v>0.2114155251141553</v>
      </c>
      <c r="P41" s="11" t="n">
        <v>0.2558127853881279</v>
      </c>
      <c r="Q41" s="9" t="n">
        <v>3.95</v>
      </c>
      <c r="R41" s="9" t="n">
        <v>1.43</v>
      </c>
    </row>
    <row r="42">
      <c r="A42" s="12" t="inlineStr">
        <is>
          <t>PawL-03</t>
        </is>
      </c>
      <c r="B42" s="13" t="inlineStr">
        <is>
          <t>Correa Pocket Pod · Blanco · 1,5 m</t>
        </is>
      </c>
      <c r="C42" s="13" t="inlineStr">
        <is>
          <t>Pocket Pod</t>
        </is>
      </c>
      <c r="D42" s="13" t="n">
        <v>112</v>
      </c>
      <c r="E42" s="14" t="n">
        <v>21.9</v>
      </c>
      <c r="F42" s="14" t="n">
        <v>3.8</v>
      </c>
      <c r="G42" s="14" t="n">
        <v>18.1</v>
      </c>
      <c r="H42" s="14" t="n">
        <v>12</v>
      </c>
      <c r="I42" s="14" t="n">
        <v>2.95</v>
      </c>
      <c r="J42" s="14" t="n">
        <v>0.6</v>
      </c>
      <c r="K42" s="14" t="n">
        <v>0.64</v>
      </c>
      <c r="L42" s="14" t="n">
        <v>0.24</v>
      </c>
      <c r="M42" s="14" t="n">
        <v>0.3</v>
      </c>
      <c r="N42" s="16" t="n">
        <v>4.63</v>
      </c>
      <c r="O42" s="15" t="n">
        <v>0.2114155251141553</v>
      </c>
      <c r="P42" s="15" t="n">
        <v>0.2558127853881279</v>
      </c>
      <c r="Q42" s="14" t="n">
        <v>3.95</v>
      </c>
      <c r="R42" s="14" t="n">
        <v>1.43</v>
      </c>
    </row>
    <row r="44">
      <c r="B44" s="3" t="inlineStr">
        <is>
          <t>TOTAL / MEDIA</t>
        </is>
      </c>
      <c r="N44" s="17" t="n">
        <v>9.385526315789473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3" customWidth="1" min="8" max="8"/>
    <col width="12" customWidth="1" min="9" max="9"/>
    <col width="14" customWidth="1" min="10" max="10"/>
    <col width="12" customWidth="1" min="11" max="11"/>
    <col width="13" customWidth="1" min="12" max="12"/>
    <col width="9" customWidth="1" min="13" max="13"/>
  </cols>
  <sheetData>
    <row r="1">
      <c r="A1" s="1" t="inlineStr">
        <is>
          <t>Cómo queda el beneficio cuando el pedido lleva dos artículos</t>
        </is>
      </c>
    </row>
    <row r="2">
      <c r="A2" s="2" t="inlineStr">
        <is>
          <t>Los costes que van por pedido (envío de AW, embalaje, Stripe, devoluciones) se reparten entre los artículos según su peso y su precio. Envío cobrado según tramo del pedido, o gratis desde 39 €.</t>
        </is>
      </c>
    </row>
    <row r="4">
      <c r="A4" s="6" t="inlineStr">
        <is>
          <t>SKU</t>
        </is>
      </c>
      <c r="B4" s="6" t="inlineStr">
        <is>
          <t>Producto</t>
        </is>
      </c>
      <c r="C4" s="6" t="inlineStr">
        <is>
          <t>PVP</t>
        </is>
      </c>
      <c r="D4" s="6" t="inlineStr">
        <is>
          <t>− IVA</t>
        </is>
      </c>
      <c r="E4" s="6" t="inlineStr">
        <is>
          <t>Ingreso neto</t>
        </is>
      </c>
      <c r="F4" s="6" t="inlineStr">
        <is>
          <t>− Coste proveedor</t>
        </is>
      </c>
      <c r="G4" s="6" t="inlineStr">
        <is>
          <t>− Envío AW (parte)</t>
        </is>
      </c>
      <c r="H4" s="6" t="inlineStr">
        <is>
          <t>− Embalaje (parte)</t>
        </is>
      </c>
      <c r="I4" s="6" t="inlineStr">
        <is>
          <t>− Stripe (parte)</t>
        </is>
      </c>
      <c r="J4" s="6" t="inlineStr">
        <is>
          <t>− Devoluciones (parte)</t>
        </is>
      </c>
      <c r="K4" s="6" t="inlineStr">
        <is>
          <t>− Donación 5 %</t>
        </is>
      </c>
      <c r="L4" s="6">
        <f> Beneficio real</f>
        <v/>
      </c>
      <c r="M4" s="6" t="inlineStr">
        <is>
          <t>% s/ PVP</t>
        </is>
      </c>
    </row>
    <row r="5">
      <c r="A5" s="8" t="inlineStr">
        <is>
          <t>PawB-14</t>
        </is>
      </c>
      <c r="B5" s="8" t="inlineStr">
        <is>
          <t>Cama tienda (iglú) · 58 × 58 × 48 cm · Beige y naranja</t>
        </is>
      </c>
      <c r="C5" s="9" t="n">
        <v>86.84999999999999</v>
      </c>
      <c r="D5" s="9" t="n">
        <v>15.07</v>
      </c>
      <c r="E5" s="9" t="n">
        <v>71.78</v>
      </c>
      <c r="F5" s="9" t="n">
        <v>41.16</v>
      </c>
      <c r="G5" s="9" t="n">
        <v>4</v>
      </c>
      <c r="H5" s="9" t="n">
        <v>0.6</v>
      </c>
      <c r="I5" s="9" t="n">
        <v>1.55</v>
      </c>
      <c r="J5" s="9" t="n">
        <v>0.24</v>
      </c>
      <c r="K5" s="9" t="n">
        <v>1.53</v>
      </c>
      <c r="L5" s="18" t="n">
        <v>22.7</v>
      </c>
      <c r="M5" s="11" t="n">
        <v>0.2613701784686241</v>
      </c>
    </row>
    <row r="6">
      <c r="A6" s="8" t="inlineStr">
        <is>
          <t>PAWFB-09</t>
        </is>
      </c>
      <c r="B6" s="8" t="inlineStr">
        <is>
          <t>Filtros de repuesto para fuente · Pack de 4 · compatible con la fuente GRANKHA</t>
        </is>
      </c>
      <c r="C6" s="9" t="n">
        <v>28.35</v>
      </c>
      <c r="D6" s="9" t="n">
        <v>4.92</v>
      </c>
      <c r="E6" s="9" t="n">
        <v>23.43</v>
      </c>
      <c r="F6" s="9" t="n">
        <v>3.15</v>
      </c>
      <c r="G6" s="9" t="n">
        <v>2.95</v>
      </c>
      <c r="H6" s="9" t="n">
        <v>0.6</v>
      </c>
      <c r="I6" s="9" t="n">
        <v>0.73</v>
      </c>
      <c r="J6" s="9" t="n">
        <v>0.24</v>
      </c>
      <c r="K6" s="9" t="n">
        <v>1.01</v>
      </c>
      <c r="L6" s="18" t="n">
        <v>18.01</v>
      </c>
      <c r="M6" s="11" t="n">
        <v>0.635273368606702</v>
      </c>
    </row>
    <row r="7">
      <c r="A7" s="8" t="inlineStr">
        <is>
          <t>PawB-08</t>
        </is>
      </c>
      <c r="B7" s="8" t="inlineStr">
        <is>
          <t>Cama sofá · Mediana · 60 × 60 × 28 cm · Rayas marrones</t>
        </is>
      </c>
      <c r="C7" s="9" t="n">
        <v>85.34999999999999</v>
      </c>
      <c r="D7" s="9" t="n">
        <v>14.81</v>
      </c>
      <c r="E7" s="9" t="n">
        <v>70.54000000000001</v>
      </c>
      <c r="F7" s="9" t="n">
        <v>41.16</v>
      </c>
      <c r="G7" s="9" t="n">
        <v>4</v>
      </c>
      <c r="H7" s="9" t="n">
        <v>0.6</v>
      </c>
      <c r="I7" s="9" t="n">
        <v>1.53</v>
      </c>
      <c r="J7" s="9" t="n">
        <v>0.24</v>
      </c>
      <c r="K7" s="9" t="n">
        <v>1.47</v>
      </c>
      <c r="L7" s="18" t="n">
        <v>21.54</v>
      </c>
      <c r="M7" s="11" t="n">
        <v>0.2523725834797891</v>
      </c>
    </row>
    <row r="8">
      <c r="A8" s="8" t="inlineStr">
        <is>
          <t>PawB-12</t>
        </is>
      </c>
      <c r="B8" s="8" t="inlineStr">
        <is>
          <t>Cama Patita · Grande · 70 cm · Felpa beige</t>
        </is>
      </c>
      <c r="C8" s="9" t="n">
        <v>74.84999999999999</v>
      </c>
      <c r="D8" s="9" t="n">
        <v>12.99</v>
      </c>
      <c r="E8" s="9" t="n">
        <v>61.86</v>
      </c>
      <c r="F8" s="9" t="n">
        <v>33.95</v>
      </c>
      <c r="G8" s="9" t="n">
        <v>4</v>
      </c>
      <c r="H8" s="9" t="n">
        <v>0.6</v>
      </c>
      <c r="I8" s="9" t="n">
        <v>1.37</v>
      </c>
      <c r="J8" s="9" t="n">
        <v>0.24</v>
      </c>
      <c r="K8" s="9" t="n">
        <v>1.4</v>
      </c>
      <c r="L8" s="18" t="n">
        <v>20.3</v>
      </c>
      <c r="M8" s="11" t="n">
        <v>0.2712090848363394</v>
      </c>
    </row>
    <row r="9">
      <c r="A9" s="8" t="inlineStr">
        <is>
          <t>PawB-04</t>
        </is>
      </c>
      <c r="B9" s="8" t="inlineStr">
        <is>
          <t>Cama acolchada caqui · Mediana · 70 × 60 × 15 cm · Caqui beige</t>
        </is>
      </c>
      <c r="C9" s="9" t="n">
        <v>79.34999999999999</v>
      </c>
      <c r="D9" s="9" t="n">
        <v>13.77</v>
      </c>
      <c r="E9" s="9" t="n">
        <v>65.58</v>
      </c>
      <c r="F9" s="9" t="n">
        <v>37.79</v>
      </c>
      <c r="G9" s="9" t="n">
        <v>4</v>
      </c>
      <c r="H9" s="9" t="n">
        <v>0.6</v>
      </c>
      <c r="I9" s="9" t="n">
        <v>1.44</v>
      </c>
      <c r="J9" s="9" t="n">
        <v>0.24</v>
      </c>
      <c r="K9" s="9" t="n">
        <v>1.39</v>
      </c>
      <c r="L9" s="18" t="n">
        <v>20.12</v>
      </c>
      <c r="M9" s="11" t="n">
        <v>0.2535601764335224</v>
      </c>
    </row>
    <row r="10">
      <c r="A10" s="8" t="inlineStr">
        <is>
          <t>PAWFB-06</t>
        </is>
      </c>
      <c r="B10" s="8" t="inlineStr">
        <is>
          <t>Comedero de cerámica con soporte de madera · Ø 14 cm · Cerámica + madera</t>
        </is>
      </c>
      <c r="C10" s="9" t="n">
        <v>44.85</v>
      </c>
      <c r="D10" s="9" t="n">
        <v>7.78</v>
      </c>
      <c r="E10" s="9" t="n">
        <v>37.07</v>
      </c>
      <c r="F10" s="9" t="n">
        <v>16.88</v>
      </c>
      <c r="G10" s="9" t="n">
        <v>4</v>
      </c>
      <c r="H10" s="9" t="n">
        <v>0.6</v>
      </c>
      <c r="I10" s="9" t="n">
        <v>0.92</v>
      </c>
      <c r="J10" s="9" t="n">
        <v>0.24</v>
      </c>
      <c r="K10" s="9" t="n">
        <v>1.01</v>
      </c>
      <c r="L10" s="18" t="n">
        <v>13.42</v>
      </c>
      <c r="M10" s="11" t="n">
        <v>0.2992196209587514</v>
      </c>
    </row>
    <row r="11">
      <c r="A11" s="8" t="inlineStr">
        <is>
          <t>PawB-13</t>
        </is>
      </c>
      <c r="B11" s="8" t="inlineStr">
        <is>
          <t>Cama tienda (iglú) · 48 × 48 × 40 cm · Verde y naranja</t>
        </is>
      </c>
      <c r="C11" s="9" t="n">
        <v>67.34999999999999</v>
      </c>
      <c r="D11" s="9" t="n">
        <v>11.69</v>
      </c>
      <c r="E11" s="9" t="n">
        <v>55.66</v>
      </c>
      <c r="F11" s="9" t="n">
        <v>30.2</v>
      </c>
      <c r="G11" s="9" t="n">
        <v>2.95</v>
      </c>
      <c r="H11" s="9" t="n">
        <v>0.6</v>
      </c>
      <c r="I11" s="9" t="n">
        <v>1.26</v>
      </c>
      <c r="J11" s="9" t="n">
        <v>0.24</v>
      </c>
      <c r="K11" s="9" t="n">
        <v>1.27</v>
      </c>
      <c r="L11" s="18" t="n">
        <v>19.15</v>
      </c>
      <c r="M11" s="11" t="n">
        <v>0.2843355605048256</v>
      </c>
    </row>
    <row r="12">
      <c r="A12" s="8" t="inlineStr">
        <is>
          <t>PawB-05</t>
        </is>
      </c>
      <c r="B12" s="8" t="inlineStr">
        <is>
          <t>Cama Lucky Elephant · 60 × 50 × 14 cm · Estampado rojo</t>
        </is>
      </c>
      <c r="C12" s="9" t="n">
        <v>56.85</v>
      </c>
      <c r="D12" s="9" t="n">
        <v>9.869999999999999</v>
      </c>
      <c r="E12" s="9" t="n">
        <v>46.98</v>
      </c>
      <c r="F12" s="9" t="n">
        <v>25.21</v>
      </c>
      <c r="G12" s="9" t="n">
        <v>4</v>
      </c>
      <c r="H12" s="9" t="n">
        <v>0.6</v>
      </c>
      <c r="I12" s="9" t="n">
        <v>1.1</v>
      </c>
      <c r="J12" s="9" t="n">
        <v>0.24</v>
      </c>
      <c r="K12" s="9" t="n">
        <v>1.09</v>
      </c>
      <c r="L12" s="18" t="n">
        <v>14.74</v>
      </c>
      <c r="M12" s="11" t="n">
        <v>0.2592788038698329</v>
      </c>
    </row>
    <row r="13">
      <c r="A13" s="8" t="inlineStr">
        <is>
          <t>PawB-06</t>
        </is>
      </c>
      <c r="B13" s="8" t="inlineStr">
        <is>
          <t>Cama Lucky Elephant · 60 × 50 × 14 cm · Estampado verde</t>
        </is>
      </c>
      <c r="C13" s="9" t="n">
        <v>56.85</v>
      </c>
      <c r="D13" s="9" t="n">
        <v>9.869999999999999</v>
      </c>
      <c r="E13" s="9" t="n">
        <v>46.98</v>
      </c>
      <c r="F13" s="9" t="n">
        <v>25.21</v>
      </c>
      <c r="G13" s="9" t="n">
        <v>4</v>
      </c>
      <c r="H13" s="9" t="n">
        <v>0.6</v>
      </c>
      <c r="I13" s="9" t="n">
        <v>1.1</v>
      </c>
      <c r="J13" s="9" t="n">
        <v>0.24</v>
      </c>
      <c r="K13" s="9" t="n">
        <v>1.09</v>
      </c>
      <c r="L13" s="18" t="n">
        <v>14.74</v>
      </c>
      <c r="M13" s="11" t="n">
        <v>0.2592788038698329</v>
      </c>
    </row>
    <row r="14">
      <c r="A14" s="8" t="inlineStr">
        <is>
          <t>PawB-11</t>
        </is>
      </c>
      <c r="B14" s="8" t="inlineStr">
        <is>
          <t>Cama Patita · Mediana · 60 cm · Felpa beige</t>
        </is>
      </c>
      <c r="C14" s="9" t="n">
        <v>64.34999999999999</v>
      </c>
      <c r="D14" s="9" t="n">
        <v>11.17</v>
      </c>
      <c r="E14" s="9" t="n">
        <v>53.18</v>
      </c>
      <c r="F14" s="9" t="n">
        <v>27.2</v>
      </c>
      <c r="G14" s="9" t="n">
        <v>4</v>
      </c>
      <c r="H14" s="9" t="n">
        <v>0.6</v>
      </c>
      <c r="I14" s="9" t="n">
        <v>1.22</v>
      </c>
      <c r="J14" s="9" t="n">
        <v>0.24</v>
      </c>
      <c r="K14" s="9" t="n">
        <v>1.3</v>
      </c>
      <c r="L14" s="18" t="n">
        <v>18.63</v>
      </c>
      <c r="M14" s="11" t="n">
        <v>0.2895104895104895</v>
      </c>
    </row>
    <row r="15">
      <c r="A15" s="8" t="inlineStr">
        <is>
          <t>PawB-10</t>
        </is>
      </c>
      <c r="B15" s="8" t="inlineStr">
        <is>
          <t>Cama Corona Real · Grande · 50 × 50 × 26 cm · Negro y gris</t>
        </is>
      </c>
      <c r="C15" s="9" t="n">
        <v>70.34999999999999</v>
      </c>
      <c r="D15" s="9" t="n">
        <v>12.21</v>
      </c>
      <c r="E15" s="9" t="n">
        <v>58.14</v>
      </c>
      <c r="F15" s="9" t="n">
        <v>32.62</v>
      </c>
      <c r="G15" s="9" t="n">
        <v>4</v>
      </c>
      <c r="H15" s="9" t="n">
        <v>0.6</v>
      </c>
      <c r="I15" s="9" t="n">
        <v>1.31</v>
      </c>
      <c r="J15" s="9" t="n">
        <v>0.24</v>
      </c>
      <c r="K15" s="9" t="n">
        <v>1.28</v>
      </c>
      <c r="L15" s="18" t="n">
        <v>18.09</v>
      </c>
      <c r="M15" s="11" t="n">
        <v>0.2571428571428572</v>
      </c>
    </row>
    <row r="16">
      <c r="A16" s="8" t="inlineStr">
        <is>
          <t>PAWFB-04</t>
        </is>
      </c>
      <c r="B16" s="8" t="inlineStr">
        <is>
          <t>Comedero doble con soporte de madera · 2 × 12 cm · Acero 201 + madera</t>
        </is>
      </c>
      <c r="C16" s="9" t="n">
        <v>59.85</v>
      </c>
      <c r="D16" s="9" t="n">
        <v>10.39</v>
      </c>
      <c r="E16" s="9" t="n">
        <v>49.46</v>
      </c>
      <c r="F16" s="9" t="n">
        <v>25.88</v>
      </c>
      <c r="G16" s="9" t="n">
        <v>2.95</v>
      </c>
      <c r="H16" s="9" t="n">
        <v>0.6</v>
      </c>
      <c r="I16" s="9" t="n">
        <v>1.15</v>
      </c>
      <c r="J16" s="9" t="n">
        <v>0.24</v>
      </c>
      <c r="K16" s="9" t="n">
        <v>1.18</v>
      </c>
      <c r="L16" s="18" t="n">
        <v>17.47</v>
      </c>
      <c r="M16" s="11" t="n">
        <v>0.2918964076858814</v>
      </c>
    </row>
    <row r="17">
      <c r="A17" s="8" t="inlineStr">
        <is>
          <t>PawB-01</t>
        </is>
      </c>
      <c r="B17" s="8" t="inlineStr">
        <is>
          <t>Cama Teddy · Pequeña · 60 × 45 × 17 cm · Peluche marrón</t>
        </is>
      </c>
      <c r="C17" s="9" t="n">
        <v>52.35</v>
      </c>
      <c r="D17" s="9" t="n">
        <v>9.09</v>
      </c>
      <c r="E17" s="9" t="n">
        <v>43.26</v>
      </c>
      <c r="F17" s="9" t="n">
        <v>25.21</v>
      </c>
      <c r="G17" s="9" t="n">
        <v>4</v>
      </c>
      <c r="H17" s="9" t="n">
        <v>0.6</v>
      </c>
      <c r="I17" s="9" t="n">
        <v>1.04</v>
      </c>
      <c r="J17" s="9" t="n">
        <v>0.24</v>
      </c>
      <c r="K17" s="9" t="n">
        <v>0.9</v>
      </c>
      <c r="L17" s="18" t="n">
        <v>11.27</v>
      </c>
      <c r="M17" s="11" t="n">
        <v>0.2152817574021013</v>
      </c>
    </row>
    <row r="18">
      <c r="A18" s="8" t="inlineStr">
        <is>
          <t>PAWH-01</t>
        </is>
      </c>
      <c r="B18" s="8" t="inlineStr">
        <is>
          <t>Arnés de paso Guardian · XS (2-4 kg) · Rosa suave · Cuarzo rosa</t>
        </is>
      </c>
      <c r="C18" s="9" t="n">
        <v>55.35</v>
      </c>
      <c r="D18" s="9" t="n">
        <v>9.609999999999999</v>
      </c>
      <c r="E18" s="9" t="n">
        <v>45.74</v>
      </c>
      <c r="F18" s="9" t="n">
        <v>27.95</v>
      </c>
      <c r="G18" s="9" t="n">
        <v>2.95</v>
      </c>
      <c r="H18" s="9" t="n">
        <v>0.6</v>
      </c>
      <c r="I18" s="9" t="n">
        <v>1.08</v>
      </c>
      <c r="J18" s="9" t="n">
        <v>0.24</v>
      </c>
      <c r="K18" s="9" t="n">
        <v>0.89</v>
      </c>
      <c r="L18" s="18" t="n">
        <v>12.04</v>
      </c>
      <c r="M18" s="11" t="n">
        <v>0.2175248419150858</v>
      </c>
    </row>
    <row r="19">
      <c r="A19" s="8" t="inlineStr">
        <is>
          <t>PAWH-02</t>
        </is>
      </c>
      <c r="B19" s="8" t="inlineStr">
        <is>
          <t>Arnés de paso Guardian · XS (2-4 kg) · Lavanda · Amatista</t>
        </is>
      </c>
      <c r="C19" s="9" t="n">
        <v>55.35</v>
      </c>
      <c r="D19" s="9" t="n">
        <v>9.609999999999999</v>
      </c>
      <c r="E19" s="9" t="n">
        <v>45.74</v>
      </c>
      <c r="F19" s="9" t="n">
        <v>27.95</v>
      </c>
      <c r="G19" s="9" t="n">
        <v>2.95</v>
      </c>
      <c r="H19" s="9" t="n">
        <v>0.6</v>
      </c>
      <c r="I19" s="9" t="n">
        <v>1.08</v>
      </c>
      <c r="J19" s="9" t="n">
        <v>0.24</v>
      </c>
      <c r="K19" s="9" t="n">
        <v>0.89</v>
      </c>
      <c r="L19" s="18" t="n">
        <v>12.04</v>
      </c>
      <c r="M19" s="11" t="n">
        <v>0.2175248419150858</v>
      </c>
    </row>
    <row r="20">
      <c r="A20" s="8" t="inlineStr">
        <is>
          <t>PAWH-03</t>
        </is>
      </c>
      <c r="B20" s="8" t="inlineStr">
        <is>
          <t>Arnés de paso Guardian · XS (2-4 kg) · Rock Grey · Obsidiana negra</t>
        </is>
      </c>
      <c r="C20" s="9" t="n">
        <v>55.35</v>
      </c>
      <c r="D20" s="9" t="n">
        <v>9.609999999999999</v>
      </c>
      <c r="E20" s="9" t="n">
        <v>45.74</v>
      </c>
      <c r="F20" s="9" t="n">
        <v>27.95</v>
      </c>
      <c r="G20" s="9" t="n">
        <v>2.95</v>
      </c>
      <c r="H20" s="9" t="n">
        <v>0.6</v>
      </c>
      <c r="I20" s="9" t="n">
        <v>1.08</v>
      </c>
      <c r="J20" s="9" t="n">
        <v>0.24</v>
      </c>
      <c r="K20" s="9" t="n">
        <v>0.89</v>
      </c>
      <c r="L20" s="18" t="n">
        <v>12.04</v>
      </c>
      <c r="M20" s="11" t="n">
        <v>0.2175248419150858</v>
      </c>
    </row>
    <row r="21">
      <c r="A21" s="8" t="inlineStr">
        <is>
          <t>PAWH-04</t>
        </is>
      </c>
      <c r="B21" s="8" t="inlineStr">
        <is>
          <t>Arnés de paso Guardian · S (4-8 kg) · Rosa suave · Cuarzo rosa</t>
        </is>
      </c>
      <c r="C21" s="9" t="n">
        <v>55.35</v>
      </c>
      <c r="D21" s="9" t="n">
        <v>9.609999999999999</v>
      </c>
      <c r="E21" s="9" t="n">
        <v>45.74</v>
      </c>
      <c r="F21" s="9" t="n">
        <v>27.95</v>
      </c>
      <c r="G21" s="9" t="n">
        <v>2.95</v>
      </c>
      <c r="H21" s="9" t="n">
        <v>0.6</v>
      </c>
      <c r="I21" s="9" t="n">
        <v>1.08</v>
      </c>
      <c r="J21" s="9" t="n">
        <v>0.24</v>
      </c>
      <c r="K21" s="9" t="n">
        <v>0.89</v>
      </c>
      <c r="L21" s="18" t="n">
        <v>12.04</v>
      </c>
      <c r="M21" s="11" t="n">
        <v>0.2175248419150858</v>
      </c>
    </row>
    <row r="22">
      <c r="A22" s="8" t="inlineStr">
        <is>
          <t>PAWH-05</t>
        </is>
      </c>
      <c r="B22" s="8" t="inlineStr">
        <is>
          <t>Arnés de paso Guardian · S (4-8 kg) · Lavanda · Amatista</t>
        </is>
      </c>
      <c r="C22" s="9" t="n">
        <v>55.35</v>
      </c>
      <c r="D22" s="9" t="n">
        <v>9.609999999999999</v>
      </c>
      <c r="E22" s="9" t="n">
        <v>45.74</v>
      </c>
      <c r="F22" s="9" t="n">
        <v>27.95</v>
      </c>
      <c r="G22" s="9" t="n">
        <v>2.95</v>
      </c>
      <c r="H22" s="9" t="n">
        <v>0.6</v>
      </c>
      <c r="I22" s="9" t="n">
        <v>1.08</v>
      </c>
      <c r="J22" s="9" t="n">
        <v>0.24</v>
      </c>
      <c r="K22" s="9" t="n">
        <v>0.89</v>
      </c>
      <c r="L22" s="18" t="n">
        <v>12.04</v>
      </c>
      <c r="M22" s="11" t="n">
        <v>0.2175248419150858</v>
      </c>
    </row>
    <row r="23">
      <c r="A23" s="8" t="inlineStr">
        <is>
          <t>PAWH-06</t>
        </is>
      </c>
      <c r="B23" s="8" t="inlineStr">
        <is>
          <t>Arnés de paso Guardian · S (4-8 kg) · Gris roca · Obsidiana negra</t>
        </is>
      </c>
      <c r="C23" s="9" t="n">
        <v>55.35</v>
      </c>
      <c r="D23" s="9" t="n">
        <v>9.609999999999999</v>
      </c>
      <c r="E23" s="9" t="n">
        <v>45.74</v>
      </c>
      <c r="F23" s="9" t="n">
        <v>27.95</v>
      </c>
      <c r="G23" s="9" t="n">
        <v>2.95</v>
      </c>
      <c r="H23" s="9" t="n">
        <v>0.6</v>
      </c>
      <c r="I23" s="9" t="n">
        <v>1.08</v>
      </c>
      <c r="J23" s="9" t="n">
        <v>0.24</v>
      </c>
      <c r="K23" s="9" t="n">
        <v>0.89</v>
      </c>
      <c r="L23" s="18" t="n">
        <v>12.04</v>
      </c>
      <c r="M23" s="11" t="n">
        <v>0.2175248419150858</v>
      </c>
    </row>
    <row r="24">
      <c r="A24" s="8" t="inlineStr">
        <is>
          <t>PawB-09</t>
        </is>
      </c>
      <c r="B24" s="8" t="inlineStr">
        <is>
          <t>Cama Corona Real · Mediana · 50 × 50 × 26 cm · Arena y gris</t>
        </is>
      </c>
      <c r="C24" s="9" t="n">
        <v>59.85</v>
      </c>
      <c r="D24" s="9" t="n">
        <v>10.39</v>
      </c>
      <c r="E24" s="9" t="n">
        <v>49.46</v>
      </c>
      <c r="F24" s="9" t="n">
        <v>27</v>
      </c>
      <c r="G24" s="9" t="n">
        <v>4</v>
      </c>
      <c r="H24" s="9" t="n">
        <v>0.6</v>
      </c>
      <c r="I24" s="9" t="n">
        <v>1.15</v>
      </c>
      <c r="J24" s="9" t="n">
        <v>0.24</v>
      </c>
      <c r="K24" s="9" t="n">
        <v>1.12</v>
      </c>
      <c r="L24" s="18" t="n">
        <v>15.35</v>
      </c>
      <c r="M24" s="11" t="n">
        <v>0.2564745196324144</v>
      </c>
    </row>
    <row r="25">
      <c r="A25" s="8" t="inlineStr">
        <is>
          <t>PAWFB-03</t>
        </is>
      </c>
      <c r="B25" s="8" t="inlineStr">
        <is>
          <t>Comedero de acero con soporte de madera · Ø 12 cm · Acero 201 + madera natural</t>
        </is>
      </c>
      <c r="C25" s="9" t="n">
        <v>40.35</v>
      </c>
      <c r="D25" s="9" t="n">
        <v>7</v>
      </c>
      <c r="E25" s="9" t="n">
        <v>33.35</v>
      </c>
      <c r="F25" s="9" t="n">
        <v>16.32</v>
      </c>
      <c r="G25" s="9" t="n">
        <v>2.95</v>
      </c>
      <c r="H25" s="9" t="n">
        <v>0.6</v>
      </c>
      <c r="I25" s="9" t="n">
        <v>0.86</v>
      </c>
      <c r="J25" s="9" t="n">
        <v>0.24</v>
      </c>
      <c r="K25" s="9" t="n">
        <v>0.85</v>
      </c>
      <c r="L25" s="18" t="n">
        <v>11.53</v>
      </c>
      <c r="M25" s="11" t="n">
        <v>0.2857496902106568</v>
      </c>
    </row>
    <row r="26">
      <c r="A26" s="8" t="inlineStr">
        <is>
          <t>PAWFB-05</t>
        </is>
      </c>
      <c r="B26" s="8" t="inlineStr">
        <is>
          <t>Comedero doble grande con soporte de madera · 2 × 13 cm · Acero 201 + madera</t>
        </is>
      </c>
      <c r="C26" s="9" t="n">
        <v>67.34999999999999</v>
      </c>
      <c r="D26" s="9" t="n">
        <v>11.69</v>
      </c>
      <c r="E26" s="9" t="n">
        <v>55.66</v>
      </c>
      <c r="F26" s="9" t="n">
        <v>31.5</v>
      </c>
      <c r="G26" s="9" t="n">
        <v>4</v>
      </c>
      <c r="H26" s="9" t="n">
        <v>0.6</v>
      </c>
      <c r="I26" s="9" t="n">
        <v>1.26</v>
      </c>
      <c r="J26" s="9" t="n">
        <v>0.24</v>
      </c>
      <c r="K26" s="9" t="n">
        <v>1.21</v>
      </c>
      <c r="L26" s="18" t="n">
        <v>16.85</v>
      </c>
      <c r="M26" s="11" t="n">
        <v>0.2501855976243504</v>
      </c>
    </row>
    <row r="27">
      <c r="A27" s="8" t="inlineStr">
        <is>
          <t>PawB-02</t>
        </is>
      </c>
      <c r="B27" s="8" t="inlineStr">
        <is>
          <t>Cama Teddy · Mediana · 70 × 55 × 18 cm · Peluche marrón</t>
        </is>
      </c>
      <c r="C27" s="9" t="n">
        <v>67.34999999999999</v>
      </c>
      <c r="D27" s="9" t="n">
        <v>11.69</v>
      </c>
      <c r="E27" s="9" t="n">
        <v>55.66</v>
      </c>
      <c r="F27" s="9" t="n">
        <v>31.96</v>
      </c>
      <c r="G27" s="9" t="n">
        <v>4</v>
      </c>
      <c r="H27" s="9" t="n">
        <v>0.6</v>
      </c>
      <c r="I27" s="9" t="n">
        <v>1.26</v>
      </c>
      <c r="J27" s="9" t="n">
        <v>0.24</v>
      </c>
      <c r="K27" s="9" t="n">
        <v>1.18</v>
      </c>
      <c r="L27" s="18" t="n">
        <v>16.42</v>
      </c>
      <c r="M27" s="11" t="n">
        <v>0.2438010393466964</v>
      </c>
    </row>
    <row r="28">
      <c r="A28" s="8" t="inlineStr">
        <is>
          <t>PAWFB-07</t>
        </is>
      </c>
      <c r="B28" s="8" t="inlineStr">
        <is>
          <t>Comedero para gatos con soporte · Acero inoxidable 304 · cara de gato</t>
        </is>
      </c>
      <c r="C28" s="9" t="n">
        <v>26.85</v>
      </c>
      <c r="D28" s="9" t="n">
        <v>4.66</v>
      </c>
      <c r="E28" s="9" t="n">
        <v>22.19</v>
      </c>
      <c r="F28" s="9" t="n">
        <v>9</v>
      </c>
      <c r="G28" s="9" t="n">
        <v>2.95</v>
      </c>
      <c r="H28" s="9" t="n">
        <v>0.6</v>
      </c>
      <c r="I28" s="9" t="n">
        <v>0.71</v>
      </c>
      <c r="J28" s="9" t="n">
        <v>0.24</v>
      </c>
      <c r="K28" s="9" t="n">
        <v>0.66</v>
      </c>
      <c r="L28" s="18" t="n">
        <v>11.29</v>
      </c>
      <c r="M28" s="11" t="n">
        <v>0.4204841713221601</v>
      </c>
    </row>
    <row r="29">
      <c r="A29" s="8" t="inlineStr">
        <is>
          <t>PawB-07</t>
        </is>
      </c>
      <c r="B29" s="8" t="inlineStr">
        <is>
          <t>Cama sofá · Pequeña · 50 × 50 × 26 cm · Rayas marrones</t>
        </is>
      </c>
      <c r="C29" s="9" t="n">
        <v>67.34999999999999</v>
      </c>
      <c r="D29" s="9" t="n">
        <v>11.69</v>
      </c>
      <c r="E29" s="9" t="n">
        <v>55.66</v>
      </c>
      <c r="F29" s="9" t="n">
        <v>32.62</v>
      </c>
      <c r="G29" s="9" t="n">
        <v>4</v>
      </c>
      <c r="H29" s="9" t="n">
        <v>0.6</v>
      </c>
      <c r="I29" s="9" t="n">
        <v>1.26</v>
      </c>
      <c r="J29" s="9" t="n">
        <v>0.24</v>
      </c>
      <c r="K29" s="9" t="n">
        <v>1.15</v>
      </c>
      <c r="L29" s="18" t="n">
        <v>15.79</v>
      </c>
      <c r="M29" s="11" t="n">
        <v>0.2344469190794358</v>
      </c>
    </row>
    <row r="30">
      <c r="A30" s="8" t="inlineStr">
        <is>
          <t>PAWFB-02</t>
        </is>
      </c>
      <c r="B30" s="8" t="inlineStr">
        <is>
          <t>Comedero estilo cobre grande · Ø 22 cm · Acero inoxidable 304</t>
        </is>
      </c>
      <c r="C30" s="9" t="n">
        <v>25.35</v>
      </c>
      <c r="D30" s="9" t="n">
        <v>4.4</v>
      </c>
      <c r="E30" s="9" t="n">
        <v>20.95</v>
      </c>
      <c r="F30" s="9" t="n">
        <v>7.88</v>
      </c>
      <c r="G30" s="9" t="n">
        <v>2.95</v>
      </c>
      <c r="H30" s="9" t="n">
        <v>0.6</v>
      </c>
      <c r="I30" s="9" t="n">
        <v>0.6899999999999999</v>
      </c>
      <c r="J30" s="9" t="n">
        <v>0.24</v>
      </c>
      <c r="K30" s="9" t="n">
        <v>0.65</v>
      </c>
      <c r="L30" s="18" t="n">
        <v>11.21</v>
      </c>
      <c r="M30" s="11" t="n">
        <v>0.4422090729783038</v>
      </c>
    </row>
    <row r="31">
      <c r="A31" s="8" t="inlineStr">
        <is>
          <t>PawL-07</t>
        </is>
      </c>
      <c r="B31" s="8" t="inlineStr">
        <is>
          <t>Correa Elephant · Azul · 2 m</t>
        </is>
      </c>
      <c r="C31" s="9" t="n">
        <v>52.35</v>
      </c>
      <c r="D31" s="9" t="n">
        <v>9.09</v>
      </c>
      <c r="E31" s="9" t="n">
        <v>43.26</v>
      </c>
      <c r="F31" s="9" t="n">
        <v>28.12</v>
      </c>
      <c r="G31" s="9" t="n">
        <v>2.95</v>
      </c>
      <c r="H31" s="9" t="n">
        <v>0.6</v>
      </c>
      <c r="I31" s="9" t="n">
        <v>1.04</v>
      </c>
      <c r="J31" s="9" t="n">
        <v>0.24</v>
      </c>
      <c r="K31" s="9" t="n">
        <v>0.76</v>
      </c>
      <c r="L31" s="18" t="n">
        <v>9.550000000000001</v>
      </c>
      <c r="M31" s="11" t="n">
        <v>0.1824259789875836</v>
      </c>
    </row>
    <row r="32">
      <c r="A32" s="8" t="inlineStr">
        <is>
          <t>PawL-08</t>
        </is>
      </c>
      <c r="B32" s="8" t="inlineStr">
        <is>
          <t>Correa Elephant · Marrón · 2 m</t>
        </is>
      </c>
      <c r="C32" s="9" t="n">
        <v>52.35</v>
      </c>
      <c r="D32" s="9" t="n">
        <v>9.09</v>
      </c>
      <c r="E32" s="9" t="n">
        <v>43.26</v>
      </c>
      <c r="F32" s="9" t="n">
        <v>28.12</v>
      </c>
      <c r="G32" s="9" t="n">
        <v>2.95</v>
      </c>
      <c r="H32" s="9" t="n">
        <v>0.6</v>
      </c>
      <c r="I32" s="9" t="n">
        <v>1.04</v>
      </c>
      <c r="J32" s="9" t="n">
        <v>0.24</v>
      </c>
      <c r="K32" s="9" t="n">
        <v>0.76</v>
      </c>
      <c r="L32" s="18" t="n">
        <v>9.550000000000001</v>
      </c>
      <c r="M32" s="11" t="n">
        <v>0.1824259789875836</v>
      </c>
    </row>
    <row r="33">
      <c r="A33" s="8" t="inlineStr">
        <is>
          <t>PawL-09</t>
        </is>
      </c>
      <c r="B33" s="8" t="inlineStr">
        <is>
          <t>Correa Elephant · Gris · 2 m</t>
        </is>
      </c>
      <c r="C33" s="9" t="n">
        <v>52.35</v>
      </c>
      <c r="D33" s="9" t="n">
        <v>9.09</v>
      </c>
      <c r="E33" s="9" t="n">
        <v>43.26</v>
      </c>
      <c r="F33" s="9" t="n">
        <v>28.12</v>
      </c>
      <c r="G33" s="9" t="n">
        <v>2.95</v>
      </c>
      <c r="H33" s="9" t="n">
        <v>0.6</v>
      </c>
      <c r="I33" s="9" t="n">
        <v>1.04</v>
      </c>
      <c r="J33" s="9" t="n">
        <v>0.24</v>
      </c>
      <c r="K33" s="9" t="n">
        <v>0.76</v>
      </c>
      <c r="L33" s="18" t="n">
        <v>9.550000000000001</v>
      </c>
      <c r="M33" s="11" t="n">
        <v>0.1824259789875836</v>
      </c>
    </row>
    <row r="34">
      <c r="A34" s="8" t="inlineStr">
        <is>
          <t>PAWFB-08</t>
        </is>
      </c>
      <c r="B34" s="8" t="inlineStr">
        <is>
          <t>Fuente de agua eléctrica 2,5 L · Acero inoxidable 304 · alimentación USB</t>
        </is>
      </c>
      <c r="C34" s="9" t="n">
        <v>74.84999999999999</v>
      </c>
      <c r="D34" s="9" t="n">
        <v>12.99</v>
      </c>
      <c r="E34" s="9" t="n">
        <v>61.86</v>
      </c>
      <c r="F34" s="9" t="n">
        <v>42.75</v>
      </c>
      <c r="G34" s="9" t="n">
        <v>4</v>
      </c>
      <c r="H34" s="9" t="n">
        <v>0.6</v>
      </c>
      <c r="I34" s="9" t="n">
        <v>1.37</v>
      </c>
      <c r="J34" s="9" t="n">
        <v>0.24</v>
      </c>
      <c r="K34" s="9" t="n">
        <v>0.96</v>
      </c>
      <c r="L34" s="18" t="n">
        <v>11.94</v>
      </c>
      <c r="M34" s="11" t="n">
        <v>0.1595190380761523</v>
      </c>
    </row>
    <row r="35">
      <c r="A35" s="8" t="inlineStr">
        <is>
          <t>PawL-04</t>
        </is>
      </c>
      <c r="B35" s="8" t="inlineStr">
        <is>
          <t>Correa Mini Mango · Amarillo · 3 m</t>
        </is>
      </c>
      <c r="C35" s="9" t="n">
        <v>44.85</v>
      </c>
      <c r="D35" s="9" t="n">
        <v>7.78</v>
      </c>
      <c r="E35" s="9" t="n">
        <v>37.07</v>
      </c>
      <c r="F35" s="9" t="n">
        <v>23.62</v>
      </c>
      <c r="G35" s="9" t="n">
        <v>2.95</v>
      </c>
      <c r="H35" s="9" t="n">
        <v>0.6</v>
      </c>
      <c r="I35" s="9" t="n">
        <v>0.92</v>
      </c>
      <c r="J35" s="9" t="n">
        <v>0.24</v>
      </c>
      <c r="K35" s="9" t="n">
        <v>0.67</v>
      </c>
      <c r="L35" s="18" t="n">
        <v>8.06</v>
      </c>
      <c r="M35" s="11" t="n">
        <v>0.1797101449275363</v>
      </c>
    </row>
    <row r="36">
      <c r="A36" s="8" t="inlineStr">
        <is>
          <t>PawL-05</t>
        </is>
      </c>
      <c r="B36" s="8" t="inlineStr">
        <is>
          <t>Correa Mini Mango · Ciruela · 3 m</t>
        </is>
      </c>
      <c r="C36" s="9" t="n">
        <v>44.85</v>
      </c>
      <c r="D36" s="9" t="n">
        <v>7.78</v>
      </c>
      <c r="E36" s="9" t="n">
        <v>37.07</v>
      </c>
      <c r="F36" s="9" t="n">
        <v>23.62</v>
      </c>
      <c r="G36" s="9" t="n">
        <v>2.95</v>
      </c>
      <c r="H36" s="9" t="n">
        <v>0.6</v>
      </c>
      <c r="I36" s="9" t="n">
        <v>0.92</v>
      </c>
      <c r="J36" s="9" t="n">
        <v>0.24</v>
      </c>
      <c r="K36" s="9" t="n">
        <v>0.67</v>
      </c>
      <c r="L36" s="18" t="n">
        <v>8.06</v>
      </c>
      <c r="M36" s="11" t="n">
        <v>0.1797101449275363</v>
      </c>
    </row>
    <row r="37">
      <c r="A37" s="8" t="inlineStr">
        <is>
          <t>PawL-06</t>
        </is>
      </c>
      <c r="B37" s="8" t="inlineStr">
        <is>
          <t>Correa Mini Mango · Durazno · 3 m</t>
        </is>
      </c>
      <c r="C37" s="9" t="n">
        <v>44.85</v>
      </c>
      <c r="D37" s="9" t="n">
        <v>7.78</v>
      </c>
      <c r="E37" s="9" t="n">
        <v>37.07</v>
      </c>
      <c r="F37" s="9" t="n">
        <v>23.62</v>
      </c>
      <c r="G37" s="9" t="n">
        <v>2.95</v>
      </c>
      <c r="H37" s="9" t="n">
        <v>0.6</v>
      </c>
      <c r="I37" s="9" t="n">
        <v>0.92</v>
      </c>
      <c r="J37" s="9" t="n">
        <v>0.24</v>
      </c>
      <c r="K37" s="9" t="n">
        <v>0.67</v>
      </c>
      <c r="L37" s="18" t="n">
        <v>8.06</v>
      </c>
      <c r="M37" s="11" t="n">
        <v>0.1797101449275363</v>
      </c>
    </row>
    <row r="38">
      <c r="A38" s="8" t="inlineStr">
        <is>
          <t>PAWFB-01</t>
        </is>
      </c>
      <c r="B38" s="8" t="inlineStr">
        <is>
          <t>Comedero estilo cobre · Ø 18 cm · Acero inoxidable 304</t>
        </is>
      </c>
      <c r="C38" s="9" t="n">
        <v>20.85</v>
      </c>
      <c r="D38" s="9" t="n">
        <v>3.62</v>
      </c>
      <c r="E38" s="9" t="n">
        <v>17.23</v>
      </c>
      <c r="F38" s="9" t="n">
        <v>6.75</v>
      </c>
      <c r="G38" s="9" t="n">
        <v>2.95</v>
      </c>
      <c r="H38" s="9" t="n">
        <v>0.6</v>
      </c>
      <c r="I38" s="9" t="n">
        <v>0.62</v>
      </c>
      <c r="J38" s="9" t="n">
        <v>0.24</v>
      </c>
      <c r="K38" s="9" t="n">
        <v>0.52</v>
      </c>
      <c r="L38" s="18" t="n">
        <v>8.82</v>
      </c>
      <c r="M38" s="11" t="n">
        <v>0.423021582733813</v>
      </c>
    </row>
    <row r="39">
      <c r="A39" s="8" t="inlineStr">
        <is>
          <t>PawB-03</t>
        </is>
      </c>
      <c r="B39" s="8" t="inlineStr">
        <is>
          <t>Cama acolchada caqui · Pequeña · 60 × 50 × 15 cm · Verde caqui</t>
        </is>
      </c>
      <c r="C39" s="9" t="n">
        <v>59.85</v>
      </c>
      <c r="D39" s="9" t="n">
        <v>10.39</v>
      </c>
      <c r="E39" s="9" t="n">
        <v>49.46</v>
      </c>
      <c r="F39" s="9" t="n">
        <v>29.54</v>
      </c>
      <c r="G39" s="9" t="n">
        <v>4</v>
      </c>
      <c r="H39" s="9" t="n">
        <v>0.6</v>
      </c>
      <c r="I39" s="9" t="n">
        <v>1.15</v>
      </c>
      <c r="J39" s="9" t="n">
        <v>0.24</v>
      </c>
      <c r="K39" s="9" t="n">
        <v>1</v>
      </c>
      <c r="L39" s="18" t="n">
        <v>12.94</v>
      </c>
      <c r="M39" s="11" t="n">
        <v>0.2162071846282373</v>
      </c>
    </row>
    <row r="40">
      <c r="A40" s="8" t="inlineStr">
        <is>
          <t>PawL-01</t>
        </is>
      </c>
      <c r="B40" s="8" t="inlineStr">
        <is>
          <t>Correa Pocket Pod · Rosa · 1,5 m</t>
        </is>
      </c>
      <c r="C40" s="9" t="n">
        <v>32.85</v>
      </c>
      <c r="D40" s="9" t="n">
        <v>5.7</v>
      </c>
      <c r="E40" s="9" t="n">
        <v>27.15</v>
      </c>
      <c r="F40" s="9" t="n">
        <v>18</v>
      </c>
      <c r="G40" s="9" t="n">
        <v>2.95</v>
      </c>
      <c r="H40" s="9" t="n">
        <v>0.6</v>
      </c>
      <c r="I40" s="9" t="n">
        <v>0.8</v>
      </c>
      <c r="J40" s="9" t="n">
        <v>0.24</v>
      </c>
      <c r="K40" s="9" t="n">
        <v>0.46</v>
      </c>
      <c r="L40" s="18" t="n">
        <v>7.36</v>
      </c>
      <c r="M40" s="11" t="n">
        <v>0.2240487062404871</v>
      </c>
    </row>
    <row r="41">
      <c r="A41" s="8" t="inlineStr">
        <is>
          <t>PawL-02</t>
        </is>
      </c>
      <c r="B41" s="8" t="inlineStr">
        <is>
          <t>Correa Pocket Pod · Verde · 1,5 m</t>
        </is>
      </c>
      <c r="C41" s="9" t="n">
        <v>32.85</v>
      </c>
      <c r="D41" s="9" t="n">
        <v>5.7</v>
      </c>
      <c r="E41" s="9" t="n">
        <v>27.15</v>
      </c>
      <c r="F41" s="9" t="n">
        <v>18</v>
      </c>
      <c r="G41" s="9" t="n">
        <v>2.95</v>
      </c>
      <c r="H41" s="9" t="n">
        <v>0.6</v>
      </c>
      <c r="I41" s="9" t="n">
        <v>0.8</v>
      </c>
      <c r="J41" s="9" t="n">
        <v>0.24</v>
      </c>
      <c r="K41" s="9" t="n">
        <v>0.46</v>
      </c>
      <c r="L41" s="18" t="n">
        <v>7.36</v>
      </c>
      <c r="M41" s="11" t="n">
        <v>0.2240487062404871</v>
      </c>
    </row>
    <row r="42">
      <c r="A42" s="8" t="inlineStr">
        <is>
          <t>PawL-03</t>
        </is>
      </c>
      <c r="B42" s="8" t="inlineStr">
        <is>
          <t>Correa Pocket Pod · Blanco · 1,5 m</t>
        </is>
      </c>
      <c r="C42" s="9" t="n">
        <v>32.85</v>
      </c>
      <c r="D42" s="9" t="n">
        <v>5.7</v>
      </c>
      <c r="E42" s="9" t="n">
        <v>27.15</v>
      </c>
      <c r="F42" s="9" t="n">
        <v>18</v>
      </c>
      <c r="G42" s="9" t="n">
        <v>2.95</v>
      </c>
      <c r="H42" s="9" t="n">
        <v>0.6</v>
      </c>
      <c r="I42" s="9" t="n">
        <v>0.8</v>
      </c>
      <c r="J42" s="9" t="n">
        <v>0.24</v>
      </c>
      <c r="K42" s="9" t="n">
        <v>0.46</v>
      </c>
      <c r="L42" s="18" t="n">
        <v>7.36</v>
      </c>
      <c r="M42" s="11" t="n">
        <v>0.2240487062404871</v>
      </c>
    </row>
    <row r="44">
      <c r="A44" s="2" t="inlineStr">
        <is>
          <t>Los importes de esta hoja son del PEDIDO COMPLETO de 1,5 artículos (el artículo más medio del otro). El beneficio unitario puro está en la hoja anterior.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0" customWidth="1" min="4" max="4"/>
    <col width="13" customWidth="1" min="5" max="5"/>
    <col width="17" customWidth="1" min="6" max="6"/>
    <col width="12" customWidth="1" min="7" max="7"/>
    <col width="11" customWidth="1" min="8" max="8"/>
    <col width="11" customWidth="1" min="9" max="9"/>
    <col width="13" customWidth="1" min="10" max="10"/>
    <col width="12" customWidth="1" min="11" max="11"/>
    <col width="15" customWidth="1" min="12" max="12"/>
    <col width="10" customWidth="1" min="13" max="13"/>
    <col width="11" customWidth="1" min="14" max="14"/>
  </cols>
  <sheetData>
    <row r="1">
      <c r="A1" s="1" t="inlineStr">
        <is>
          <t>Los 6 packs, con el mismo desglose</t>
        </is>
      </c>
    </row>
    <row r="2">
      <c r="A2" s="2" t="inlineStr">
        <is>
          <t>Los packs son la mejor palanca: mismo envío, un solo pedido y más beneficio absoluto.</t>
        </is>
      </c>
    </row>
    <row r="4">
      <c r="A4" s="6" t="inlineStr">
        <is>
          <t>Código</t>
        </is>
      </c>
      <c r="B4" s="6" t="inlineStr">
        <is>
          <t>Pack</t>
        </is>
      </c>
      <c r="C4" s="6" t="inlineStr">
        <is>
          <t>PVP</t>
        </is>
      </c>
      <c r="D4" s="6" t="inlineStr">
        <is>
          <t>− IVA</t>
        </is>
      </c>
      <c r="E4" s="6" t="inlineStr">
        <is>
          <t>Ingreso neto</t>
        </is>
      </c>
      <c r="F4" s="6" t="inlineStr">
        <is>
          <t>− Coste componentes</t>
        </is>
      </c>
      <c r="G4" s="6" t="inlineStr">
        <is>
          <t>− Envío AW</t>
        </is>
      </c>
      <c r="H4" s="6" t="inlineStr">
        <is>
          <t>− Embalaje</t>
        </is>
      </c>
      <c r="I4" s="6" t="inlineStr">
        <is>
          <t>− Stripe</t>
        </is>
      </c>
      <c r="J4" s="6" t="inlineStr">
        <is>
          <t>− Devoluciones</t>
        </is>
      </c>
      <c r="K4" s="6" t="inlineStr">
        <is>
          <t>− Donación 5 %</t>
        </is>
      </c>
      <c r="L4" s="6">
        <f> BENEFICIO REAL</f>
        <v/>
      </c>
      <c r="M4" s="6" t="inlineStr">
        <is>
          <t>% s/ PVP</t>
        </is>
      </c>
      <c r="N4" s="6" t="inlineStr">
        <is>
          <t>Peso (kg)</t>
        </is>
      </c>
    </row>
    <row r="5">
      <c r="A5" s="8" t="inlineStr">
        <is>
          <t>PACK-01</t>
        </is>
      </c>
      <c r="B5" s="8" t="inlineStr">
        <is>
          <t>Pack Paseo Guardian S</t>
        </is>
      </c>
      <c r="C5" s="9" t="n">
        <v>66.90000000000001</v>
      </c>
      <c r="D5" s="9" t="n">
        <v>11.61</v>
      </c>
      <c r="E5" s="9" t="n">
        <v>55.29</v>
      </c>
      <c r="F5" s="9" t="n">
        <v>37.38</v>
      </c>
      <c r="G5" s="9" t="n">
        <v>2.95</v>
      </c>
      <c r="H5" s="9" t="n">
        <v>0.6</v>
      </c>
      <c r="I5" s="9" t="n">
        <v>1.25</v>
      </c>
      <c r="J5" s="9" t="n">
        <v>0.24</v>
      </c>
      <c r="K5" s="9" t="n">
        <v>0.9</v>
      </c>
      <c r="L5" s="10" t="n">
        <v>11.97</v>
      </c>
      <c r="M5" s="11" t="n">
        <v>0.1789237668161435</v>
      </c>
      <c r="N5" s="8" t="n">
        <v>0.41</v>
      </c>
    </row>
    <row r="6">
      <c r="A6" s="8" t="inlineStr">
        <is>
          <t>PACK-02</t>
        </is>
      </c>
      <c r="B6" s="8" t="inlineStr">
        <is>
          <t>Pack Paseo Guardian XS</t>
        </is>
      </c>
      <c r="C6" s="9" t="n">
        <v>62.9</v>
      </c>
      <c r="D6" s="9" t="n">
        <v>10.92</v>
      </c>
      <c r="E6" s="9" t="n">
        <v>51.98</v>
      </c>
      <c r="F6" s="9" t="n">
        <v>34.38</v>
      </c>
      <c r="G6" s="9" t="n">
        <v>2.95</v>
      </c>
      <c r="H6" s="9" t="n">
        <v>0.6</v>
      </c>
      <c r="I6" s="9" t="n">
        <v>1.19</v>
      </c>
      <c r="J6" s="9" t="n">
        <v>0.24</v>
      </c>
      <c r="K6" s="9" t="n">
        <v>0.88</v>
      </c>
      <c r="L6" s="10" t="n">
        <v>11.74</v>
      </c>
      <c r="M6" s="11" t="n">
        <v>0.1866454689984102</v>
      </c>
      <c r="N6" s="8" t="n">
        <v>0.33</v>
      </c>
    </row>
    <row r="7">
      <c r="A7" s="8" t="inlineStr">
        <is>
          <t>PACK-03</t>
        </is>
      </c>
      <c r="B7" s="8" t="inlineStr">
        <is>
          <t>Pack Primeros Días Gato</t>
        </is>
      </c>
      <c r="C7" s="9" t="n">
        <v>78.90000000000001</v>
      </c>
      <c r="D7" s="9" t="n">
        <v>13.69</v>
      </c>
      <c r="E7" s="9" t="n">
        <v>65.20999999999999</v>
      </c>
      <c r="F7" s="9" t="n">
        <v>36.6</v>
      </c>
      <c r="G7" s="9" t="n">
        <v>4</v>
      </c>
      <c r="H7" s="9" t="n">
        <v>0.6</v>
      </c>
      <c r="I7" s="9" t="n">
        <v>1.43</v>
      </c>
      <c r="J7" s="9" t="n">
        <v>0.24</v>
      </c>
      <c r="K7" s="9" t="n">
        <v>1.43</v>
      </c>
      <c r="L7" s="10" t="n">
        <v>20.91</v>
      </c>
      <c r="M7" s="11" t="n">
        <v>0.2650190114068441</v>
      </c>
      <c r="N7" s="8" t="n">
        <v>1.15</v>
      </c>
    </row>
    <row r="8">
      <c r="A8" s="8" t="inlineStr">
        <is>
          <t>PACK-04</t>
        </is>
      </c>
      <c r="B8" s="8" t="inlineStr">
        <is>
          <t>Pack Descanso</t>
        </is>
      </c>
      <c r="C8" s="9" t="n">
        <v>66.90000000000001</v>
      </c>
      <c r="D8" s="9" t="n">
        <v>11.61</v>
      </c>
      <c r="E8" s="9" t="n">
        <v>55.29</v>
      </c>
      <c r="F8" s="9" t="n">
        <v>32.19</v>
      </c>
      <c r="G8" s="9" t="n">
        <v>4</v>
      </c>
      <c r="H8" s="9" t="n">
        <v>0.6</v>
      </c>
      <c r="I8" s="9" t="n">
        <v>1.25</v>
      </c>
      <c r="J8" s="9" t="n">
        <v>0.24</v>
      </c>
      <c r="K8" s="9" t="n">
        <v>1.16</v>
      </c>
      <c r="L8" s="10" t="n">
        <v>15.85</v>
      </c>
      <c r="M8" s="11" t="n">
        <v>0.2369207772795217</v>
      </c>
      <c r="N8" s="8" t="n">
        <v>1.34</v>
      </c>
    </row>
    <row r="9">
      <c r="A9" s="8" t="inlineStr">
        <is>
          <t>PACK-05</t>
        </is>
      </c>
      <c r="B9" s="8" t="inlineStr">
        <is>
          <t>Pack Hogar Real</t>
        </is>
      </c>
      <c r="C9" s="9" t="n">
        <v>84.90000000000001</v>
      </c>
      <c r="D9" s="9" t="n">
        <v>14.73</v>
      </c>
      <c r="E9" s="9" t="n">
        <v>70.17</v>
      </c>
      <c r="F9" s="9" t="n">
        <v>42.75</v>
      </c>
      <c r="G9" s="9" t="n">
        <v>4</v>
      </c>
      <c r="H9" s="9" t="n">
        <v>0.6</v>
      </c>
      <c r="I9" s="9" t="n">
        <v>1.52</v>
      </c>
      <c r="J9" s="9" t="n">
        <v>0.24</v>
      </c>
      <c r="K9" s="9" t="n">
        <v>1.37</v>
      </c>
      <c r="L9" s="10" t="n">
        <v>19.69</v>
      </c>
      <c r="M9" s="11" t="n">
        <v>0.2319199057714959</v>
      </c>
      <c r="N9" s="8" t="n">
        <v>2.12</v>
      </c>
    </row>
    <row r="10">
      <c r="A10" s="8" t="inlineStr">
        <is>
          <t>PACK-06</t>
        </is>
      </c>
      <c r="B10" s="8" t="inlineStr">
        <is>
          <t>Pack Hidratación</t>
        </is>
      </c>
      <c r="C10" s="9" t="n">
        <v>80.90000000000001</v>
      </c>
      <c r="D10" s="9" t="n">
        <v>14.04</v>
      </c>
      <c r="E10" s="9" t="n">
        <v>66.86</v>
      </c>
      <c r="F10" s="9" t="n">
        <v>32.7</v>
      </c>
      <c r="G10" s="9" t="n">
        <v>4</v>
      </c>
      <c r="H10" s="9" t="n">
        <v>0.6</v>
      </c>
      <c r="I10" s="9" t="n">
        <v>1.46</v>
      </c>
      <c r="J10" s="9" t="n">
        <v>0.24</v>
      </c>
      <c r="K10" s="9" t="n">
        <v>1.71</v>
      </c>
      <c r="L10" s="10" t="n">
        <v>26.15</v>
      </c>
      <c r="M10" s="11" t="n">
        <v>0.3232385661310259</v>
      </c>
      <c r="N10" s="8" t="n">
        <v>1.11</v>
      </c>
    </row>
    <row r="12">
      <c r="B12" s="3" t="inlineStr">
        <is>
          <t>BENEFICIO MEDIO POR PACK</t>
        </is>
      </c>
      <c r="L12" s="17" t="n">
        <v>17.71833333333333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3" customWidth="1" min="4" max="4"/>
    <col width="12" customWidth="1" min="5" max="5"/>
    <col width="14" customWidth="1" min="6" max="6"/>
    <col width="12" customWidth="1" min="7" max="7"/>
    <col width="15" customWidth="1" min="8" max="8"/>
    <col width="12" customWidth="1" min="9" max="9"/>
    <col width="22" customWidth="1" min="10" max="10"/>
    <col width="19" customWidth="1" min="11" max="11"/>
    <col width="10" customWidth="1" min="12" max="12"/>
  </cols>
  <sheetData>
    <row r="1">
      <c r="A1" s="1" t="inlineStr">
        <is>
          <t>Qué te queda según lo que compre el cliente</t>
        </is>
      </c>
    </row>
    <row r="2">
      <c r="A2" s="2" t="inlineStr">
        <is>
          <t>Pesos reales del feed y tarifa real de AW. Los pedidos pequeños pagan envío; desde 39 € lo asumimos nosotros.</t>
        </is>
      </c>
    </row>
    <row r="4">
      <c r="A4" s="6" t="inlineStr">
        <is>
          <t>Pedido</t>
        </is>
      </c>
      <c r="B4" s="6" t="inlineStr">
        <is>
          <t>PVP productos</t>
        </is>
      </c>
      <c r="C4" s="6" t="inlineStr">
        <is>
          <t>Peso (kg)</t>
        </is>
      </c>
      <c r="D4" s="6" t="inlineStr">
        <is>
          <t>Envío cobrado</t>
        </is>
      </c>
      <c r="E4" s="6" t="inlineStr">
        <is>
          <t>− Envío AW</t>
        </is>
      </c>
      <c r="F4" s="6">
        <f> Coste envío real</f>
        <v/>
      </c>
      <c r="G4" s="6" t="inlineStr">
        <is>
          <t>Ingreso neto</t>
        </is>
      </c>
      <c r="H4" s="6" t="inlineStr">
        <is>
          <t>− Coste proveedor</t>
        </is>
      </c>
      <c r="I4" s="6" t="inlineStr">
        <is>
          <t>− Donación 5 %</t>
        </is>
      </c>
      <c r="J4" s="6" t="inlineStr">
        <is>
          <t>− Otros (embalaje+Stripe+dev.)</t>
        </is>
      </c>
      <c r="K4" s="6">
        <f> BENEFICIO DEL PEDIDO</f>
        <v/>
      </c>
      <c r="L4" s="6" t="inlineStr">
        <is>
          <t>% s/ PVP</t>
        </is>
      </c>
    </row>
    <row r="5">
      <c r="A5" s="8" t="inlineStr">
        <is>
          <t>1 correa Pocket Pod (21,90 €)</t>
        </is>
      </c>
      <c r="B5" s="9" t="n">
        <v>21.9</v>
      </c>
      <c r="C5" s="8" t="n">
        <v>0.21</v>
      </c>
      <c r="D5" s="9" t="n">
        <v>3.95</v>
      </c>
      <c r="E5" s="9" t="n">
        <v>2.95</v>
      </c>
      <c r="F5" s="9" t="n">
        <v>0.31</v>
      </c>
      <c r="G5" s="9" t="n">
        <v>18.1</v>
      </c>
      <c r="H5" s="9" t="n">
        <v>12</v>
      </c>
      <c r="I5" s="9" t="n">
        <v>0.3</v>
      </c>
      <c r="J5" s="9" t="n">
        <v>1.48</v>
      </c>
      <c r="K5" s="16" t="n">
        <v>4.63</v>
      </c>
      <c r="L5" s="11" t="n">
        <v>0.2114155251141553</v>
      </c>
    </row>
    <row r="6">
      <c r="A6" s="8" t="inlineStr">
        <is>
          <t>1 correa Mini Mango (29,90 €)</t>
        </is>
      </c>
      <c r="B6" s="9" t="n">
        <v>29.9</v>
      </c>
      <c r="C6" s="8" t="n">
        <v>0.22</v>
      </c>
      <c r="D6" s="9" t="n">
        <v>3.95</v>
      </c>
      <c r="E6" s="9" t="n">
        <v>2.95</v>
      </c>
      <c r="F6" s="9" t="n">
        <v>0.31</v>
      </c>
      <c r="G6" s="9" t="n">
        <v>24.71</v>
      </c>
      <c r="H6" s="9" t="n">
        <v>15.75</v>
      </c>
      <c r="I6" s="9" t="n">
        <v>0.45</v>
      </c>
      <c r="J6" s="9" t="n">
        <v>1.6</v>
      </c>
      <c r="K6" s="10" t="n">
        <v>7.23</v>
      </c>
      <c r="L6" s="11" t="n">
        <v>0.2418060200668897</v>
      </c>
    </row>
    <row r="7">
      <c r="A7" s="8" t="inlineStr">
        <is>
          <t>1 comedero de acero 12 cm (26,90 €)</t>
        </is>
      </c>
      <c r="B7" s="9" t="n">
        <v>26.9</v>
      </c>
      <c r="C7" s="8" t="n">
        <v>0.34</v>
      </c>
      <c r="D7" s="9" t="n">
        <v>3.95</v>
      </c>
      <c r="E7" s="9" t="n">
        <v>2.95</v>
      </c>
      <c r="F7" s="9" t="n">
        <v>0.31</v>
      </c>
      <c r="G7" s="9" t="n">
        <v>22.23</v>
      </c>
      <c r="H7" s="9" t="n">
        <v>10.88</v>
      </c>
      <c r="I7" s="9" t="n">
        <v>0.57</v>
      </c>
      <c r="J7" s="9" t="n">
        <v>1.55</v>
      </c>
      <c r="K7" s="10" t="n">
        <v>9.550000000000001</v>
      </c>
      <c r="L7" s="11" t="n">
        <v>0.3550185873605948</v>
      </c>
    </row>
    <row r="8">
      <c r="A8" s="8" t="inlineStr">
        <is>
          <t>1 arnés Guardian (36,90 €)</t>
        </is>
      </c>
      <c r="B8" s="9" t="n">
        <v>36.9</v>
      </c>
      <c r="C8" s="8" t="n">
        <v>0.21</v>
      </c>
      <c r="D8" s="9" t="n">
        <v>3.95</v>
      </c>
      <c r="E8" s="9" t="n">
        <v>2.95</v>
      </c>
      <c r="F8" s="9" t="n">
        <v>0.31</v>
      </c>
      <c r="G8" s="9" t="n">
        <v>30.5</v>
      </c>
      <c r="H8" s="9" t="n">
        <v>18.63</v>
      </c>
      <c r="I8" s="9" t="n">
        <v>0.59</v>
      </c>
      <c r="J8" s="9" t="n">
        <v>1.7</v>
      </c>
      <c r="K8" s="10" t="n">
        <v>9.890000000000001</v>
      </c>
      <c r="L8" s="11" t="n">
        <v>0.2680216802168022</v>
      </c>
    </row>
    <row r="9">
      <c r="A9" s="8" t="inlineStr">
        <is>
          <t>1 fuente de agua 2,5 L (49,90 €)</t>
        </is>
      </c>
      <c r="B9" s="9" t="n">
        <v>49.9</v>
      </c>
      <c r="C9" s="8" t="n">
        <v>0.79</v>
      </c>
      <c r="D9" s="9" t="n">
        <v>0</v>
      </c>
      <c r="E9" s="9" t="n">
        <v>2.95</v>
      </c>
      <c r="F9" s="9" t="n">
        <v>-2.95</v>
      </c>
      <c r="G9" s="9" t="n">
        <v>41.24</v>
      </c>
      <c r="H9" s="9" t="n">
        <v>28.5</v>
      </c>
      <c r="I9" s="9" t="n">
        <v>0.64</v>
      </c>
      <c r="J9" s="9" t="n">
        <v>1.84</v>
      </c>
      <c r="K9" s="10" t="n">
        <v>7.31</v>
      </c>
      <c r="L9" s="11" t="n">
        <v>0.1464929859719439</v>
      </c>
    </row>
    <row r="10">
      <c r="A10" s="8" t="inlineStr">
        <is>
          <t>1 cama acolchada pequeña (39,90 €)</t>
        </is>
      </c>
      <c r="B10" s="9" t="n">
        <v>39.9</v>
      </c>
      <c r="C10" s="8" t="n">
        <v>1.43</v>
      </c>
      <c r="D10" s="9" t="n">
        <v>0</v>
      </c>
      <c r="E10" s="9" t="n">
        <v>4</v>
      </c>
      <c r="F10" s="9" t="n">
        <v>-4</v>
      </c>
      <c r="G10" s="9" t="n">
        <v>32.98</v>
      </c>
      <c r="H10" s="9" t="n">
        <v>19.69</v>
      </c>
      <c r="I10" s="9" t="n">
        <v>0.66</v>
      </c>
      <c r="J10" s="9" t="n">
        <v>1.69</v>
      </c>
      <c r="K10" s="10" t="n">
        <v>6.94</v>
      </c>
      <c r="L10" s="11" t="n">
        <v>0.1739348370927319</v>
      </c>
    </row>
    <row r="11">
      <c r="A11" s="8" t="inlineStr">
        <is>
          <t>1 cama iglú (57,90 €)</t>
        </is>
      </c>
      <c r="B11" s="9" t="n">
        <v>57.9</v>
      </c>
      <c r="C11" s="8" t="n">
        <v>0.75</v>
      </c>
      <c r="D11" s="9" t="n">
        <v>0</v>
      </c>
      <c r="E11" s="9" t="n">
        <v>2.95</v>
      </c>
      <c r="F11" s="9" t="n">
        <v>-2.95</v>
      </c>
      <c r="G11" s="9" t="n">
        <v>47.85</v>
      </c>
      <c r="H11" s="9" t="n">
        <v>27.44</v>
      </c>
      <c r="I11" s="9" t="n">
        <v>1.02</v>
      </c>
      <c r="J11" s="9" t="n">
        <v>1.96</v>
      </c>
      <c r="K11" s="10" t="n">
        <v>14.48</v>
      </c>
      <c r="L11" s="11" t="n">
        <v>0.2500863557858377</v>
      </c>
    </row>
    <row r="12">
      <c r="A12" s="8" t="inlineStr">
        <is>
          <t>2 artículos · arnés + correa</t>
        </is>
      </c>
      <c r="B12" s="9" t="n">
        <v>58.8</v>
      </c>
      <c r="C12" s="8" t="n">
        <v>0.32</v>
      </c>
      <c r="D12" s="9" t="n">
        <v>0</v>
      </c>
      <c r="E12" s="9" t="n">
        <v>2.95</v>
      </c>
      <c r="F12" s="9" t="n">
        <v>-2.95</v>
      </c>
      <c r="G12" s="9" t="n">
        <v>48.6</v>
      </c>
      <c r="H12" s="9" t="n">
        <v>30.63</v>
      </c>
      <c r="I12" s="9" t="n">
        <v>0.9</v>
      </c>
      <c r="J12" s="9" t="n">
        <v>1.97</v>
      </c>
      <c r="K12" s="10" t="n">
        <v>12.15</v>
      </c>
      <c r="L12" s="11" t="n">
        <v>0.2066326530612245</v>
      </c>
    </row>
    <row r="13">
      <c r="A13" s="8" t="inlineStr">
        <is>
          <t>3 artículos · cama + comedero + correa</t>
        </is>
      </c>
      <c r="B13" s="9" t="n">
        <v>88.7</v>
      </c>
      <c r="C13" s="8" t="n">
        <v>1.78</v>
      </c>
      <c r="D13" s="9" t="n">
        <v>0</v>
      </c>
      <c r="E13" s="9" t="n">
        <v>4</v>
      </c>
      <c r="F13" s="9" t="n">
        <v>-4</v>
      </c>
      <c r="G13" s="9" t="n">
        <v>73.31</v>
      </c>
      <c r="H13" s="9" t="n">
        <v>42.57</v>
      </c>
      <c r="I13" s="9" t="n">
        <v>1.54</v>
      </c>
      <c r="J13" s="9" t="n">
        <v>2.42</v>
      </c>
      <c r="K13" s="10" t="n">
        <v>22.78</v>
      </c>
      <c r="L13" s="11" t="n">
        <v>0.2568207440811726</v>
      </c>
    </row>
    <row r="14">
      <c r="A14" s="8" t="inlineStr">
        <is>
          <t>Pack Paseo Guardian S (pack de 2 piezas)</t>
        </is>
      </c>
      <c r="B14" s="9" t="n">
        <v>66.90000000000001</v>
      </c>
      <c r="C14" s="8" t="n">
        <v>0.41</v>
      </c>
      <c r="D14" s="9" t="n">
        <v>0</v>
      </c>
      <c r="E14" s="9" t="n">
        <v>2.95</v>
      </c>
      <c r="F14" s="9" t="n">
        <v>-2.95</v>
      </c>
      <c r="G14" s="9" t="n">
        <v>55.29</v>
      </c>
      <c r="H14" s="9" t="n">
        <v>37.38</v>
      </c>
      <c r="I14" s="9" t="n">
        <v>0.9</v>
      </c>
      <c r="J14" s="9" t="n">
        <v>2.09</v>
      </c>
      <c r="K14" s="10" t="n">
        <v>11.97</v>
      </c>
      <c r="L14" s="11" t="n">
        <v>0.1789237668161435</v>
      </c>
    </row>
    <row r="15">
      <c r="A15" s="8" t="inlineStr">
        <is>
          <t>Pack Paseo Guardian XS (pack de 2 piezas)</t>
        </is>
      </c>
      <c r="B15" s="9" t="n">
        <v>62.9</v>
      </c>
      <c r="C15" s="8" t="n">
        <v>0.33</v>
      </c>
      <c r="D15" s="9" t="n">
        <v>0</v>
      </c>
      <c r="E15" s="9" t="n">
        <v>2.95</v>
      </c>
      <c r="F15" s="9" t="n">
        <v>-2.95</v>
      </c>
      <c r="G15" s="9" t="n">
        <v>51.98</v>
      </c>
      <c r="H15" s="9" t="n">
        <v>34.38</v>
      </c>
      <c r="I15" s="9" t="n">
        <v>0.88</v>
      </c>
      <c r="J15" s="9" t="n">
        <v>2.03</v>
      </c>
      <c r="K15" s="10" t="n">
        <v>11.74</v>
      </c>
      <c r="L15" s="11" t="n">
        <v>0.1866454689984102</v>
      </c>
    </row>
    <row r="16">
      <c r="A16" s="8" t="inlineStr">
        <is>
          <t>Pack Primeros Días Gato (pack de 3 piezas)</t>
        </is>
      </c>
      <c r="B16" s="9" t="n">
        <v>78.90000000000001</v>
      </c>
      <c r="C16" s="8" t="n">
        <v>1.15</v>
      </c>
      <c r="D16" s="9" t="n">
        <v>0</v>
      </c>
      <c r="E16" s="9" t="n">
        <v>4</v>
      </c>
      <c r="F16" s="9" t="n">
        <v>-4</v>
      </c>
      <c r="G16" s="9" t="n">
        <v>65.20999999999999</v>
      </c>
      <c r="H16" s="9" t="n">
        <v>36.6</v>
      </c>
      <c r="I16" s="9" t="n">
        <v>1.43</v>
      </c>
      <c r="J16" s="9" t="n">
        <v>2.27</v>
      </c>
      <c r="K16" s="10" t="n">
        <v>20.91</v>
      </c>
      <c r="L16" s="11" t="n">
        <v>0.2650190114068441</v>
      </c>
    </row>
    <row r="17">
      <c r="A17" s="8" t="inlineStr">
        <is>
          <t>Pack Descanso (pack de 2 piezas)</t>
        </is>
      </c>
      <c r="B17" s="9" t="n">
        <v>66.90000000000001</v>
      </c>
      <c r="C17" s="8" t="n">
        <v>1.34</v>
      </c>
      <c r="D17" s="9" t="n">
        <v>0</v>
      </c>
      <c r="E17" s="9" t="n">
        <v>4</v>
      </c>
      <c r="F17" s="9" t="n">
        <v>-4</v>
      </c>
      <c r="G17" s="9" t="n">
        <v>55.29</v>
      </c>
      <c r="H17" s="9" t="n">
        <v>32.19</v>
      </c>
      <c r="I17" s="9" t="n">
        <v>1.15</v>
      </c>
      <c r="J17" s="9" t="n">
        <v>2.09</v>
      </c>
      <c r="K17" s="10" t="n">
        <v>15.86</v>
      </c>
      <c r="L17" s="11" t="n">
        <v>0.2370702541106128</v>
      </c>
    </row>
    <row r="18">
      <c r="A18" s="8" t="inlineStr">
        <is>
          <t>Pack Hogar Real (pack de 2 piezas)</t>
        </is>
      </c>
      <c r="B18" s="9" t="n">
        <v>84.90000000000001</v>
      </c>
      <c r="C18" s="8" t="n">
        <v>2.12</v>
      </c>
      <c r="D18" s="9" t="n">
        <v>0</v>
      </c>
      <c r="E18" s="9" t="n">
        <v>4</v>
      </c>
      <c r="F18" s="9" t="n">
        <v>-4</v>
      </c>
      <c r="G18" s="9" t="n">
        <v>70.17</v>
      </c>
      <c r="H18" s="9" t="n">
        <v>42.75</v>
      </c>
      <c r="I18" s="9" t="n">
        <v>1.37</v>
      </c>
      <c r="J18" s="9" t="n">
        <v>2.36</v>
      </c>
      <c r="K18" s="10" t="n">
        <v>19.69</v>
      </c>
      <c r="L18" s="11" t="n">
        <v>0.2319199057714959</v>
      </c>
    </row>
    <row r="19">
      <c r="A19" s="8" t="inlineStr">
        <is>
          <t>Pack Hidratación (pack de 2 piezas)</t>
        </is>
      </c>
      <c r="B19" s="9" t="n">
        <v>80.90000000000001</v>
      </c>
      <c r="C19" s="8" t="n">
        <v>1.11</v>
      </c>
      <c r="D19" s="9" t="n">
        <v>0</v>
      </c>
      <c r="E19" s="9" t="n">
        <v>4</v>
      </c>
      <c r="F19" s="9" t="n">
        <v>-4</v>
      </c>
      <c r="G19" s="9" t="n">
        <v>66.86</v>
      </c>
      <c r="H19" s="9" t="n">
        <v>32.7</v>
      </c>
      <c r="I19" s="9" t="n">
        <v>1.71</v>
      </c>
      <c r="J19" s="9" t="n">
        <v>2.3</v>
      </c>
      <c r="K19" s="10" t="n">
        <v>26.15</v>
      </c>
      <c r="L19" s="11" t="n">
        <v>0.3232385661310259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13" customWidth="1" min="3" max="3"/>
    <col width="13" customWidth="1" min="4" max="4"/>
    <col width="13" customWidth="1" min="5" max="5"/>
    <col width="20" customWidth="1" min="6" max="6"/>
  </cols>
  <sheetData>
    <row r="1">
      <c r="A1" s="1" t="inlineStr">
        <is>
          <t>De dónde sale cada número</t>
        </is>
      </c>
    </row>
    <row r="2">
      <c r="A2" s="2" t="inlineStr">
        <is>
          <t>Fuente de la tarifa de envío: página pública de AW Dropship España (aw-dropship.es/shipping), 15/10/2026.</t>
        </is>
      </c>
    </row>
    <row r="4">
      <c r="A4" s="3" t="inlineStr">
        <is>
          <t>Tarifa real de envío del proveedor AW (sin IVA)</t>
        </is>
      </c>
    </row>
    <row r="5">
      <c r="A5" s="19" t="inlineStr">
        <is>
          <t>Zona</t>
        </is>
      </c>
      <c r="B5" s="19" t="inlineStr">
        <is>
          <t>Destino</t>
        </is>
      </c>
      <c r="C5" s="19" t="inlineStr">
        <is>
          <t>0-1 kg</t>
        </is>
      </c>
      <c r="D5" s="19" t="inlineStr">
        <is>
          <t>1-5 kg</t>
        </is>
      </c>
      <c r="E5" s="19" t="inlineStr">
        <is>
          <t>&gt;5 kg</t>
        </is>
      </c>
      <c r="F5" s="19" t="inlineStr">
        <is>
          <t>Plazo</t>
        </is>
      </c>
    </row>
    <row r="6">
      <c r="A6" s="8" t="inlineStr">
        <is>
          <t>Zona 1</t>
        </is>
      </c>
      <c r="B6" s="8" t="inlineStr">
        <is>
          <t>España península y Baleares</t>
        </is>
      </c>
      <c r="C6" s="9" t="n">
        <v>2.95</v>
      </c>
      <c r="D6" s="9" t="n">
        <v>4</v>
      </c>
      <c r="E6" s="9" t="n">
        <v>6.5</v>
      </c>
      <c r="F6" s="8" t="inlineStr">
        <is>
          <t>1-3 días laborables</t>
        </is>
      </c>
    </row>
    <row r="7">
      <c r="A7" s="8" t="inlineStr">
        <is>
          <t>Zona 2</t>
        </is>
      </c>
      <c r="B7" s="8" t="inlineStr">
        <is>
          <t>Portugal continental</t>
        </is>
      </c>
      <c r="C7" s="9" t="n">
        <v>3.5</v>
      </c>
      <c r="D7" s="9" t="n">
        <v>4.5</v>
      </c>
      <c r="E7" s="9" t="n">
        <v>10.5</v>
      </c>
      <c r="F7" s="8" t="inlineStr">
        <is>
          <t>2-4 días laborables</t>
        </is>
      </c>
    </row>
    <row r="8">
      <c r="A8" s="8" t="inlineStr">
        <is>
          <t>Zona 3</t>
        </is>
      </c>
      <c r="B8" s="8" t="inlineStr">
        <is>
          <t>Francia, Alemania, Austria, Bélgica, Italia, Luxemburgo, Países Bajos</t>
        </is>
      </c>
      <c r="C8" s="9" t="n">
        <v>6.95</v>
      </c>
      <c r="D8" s="9" t="n">
        <v>7.95</v>
      </c>
      <c r="E8" s="9" t="n">
        <v>10.5</v>
      </c>
      <c r="F8" s="8" t="inlineStr">
        <is>
          <t>4-5 días laborables</t>
        </is>
      </c>
    </row>
    <row r="9">
      <c r="A9" s="8" t="inlineStr">
        <is>
          <t>Zona 4</t>
        </is>
      </c>
      <c r="B9" s="8" t="inlineStr">
        <is>
          <t>Chequia, Dinamarca, Polonia, Eslovenia, Eslovaquia</t>
        </is>
      </c>
      <c r="C9" s="9" t="n">
        <v>8.15</v>
      </c>
      <c r="D9" s="9" t="n">
        <v>12.15</v>
      </c>
      <c r="E9" s="9" t="n">
        <v>18.65</v>
      </c>
      <c r="F9" s="8" t="inlineStr">
        <is>
          <t>4-6 días laborables</t>
        </is>
      </c>
    </row>
    <row r="10">
      <c r="A10" s="8" t="inlineStr">
        <is>
          <t>Zona 5</t>
        </is>
      </c>
      <c r="B10" s="8" t="inlineStr">
        <is>
          <t>Bulgaria, Estonia, Finlandia, Croacia, Hungría, Irlanda, Lituania, Serbia, Rumanía, Suecia</t>
        </is>
      </c>
      <c r="C10" s="9" t="n">
        <v>16.45</v>
      </c>
      <c r="D10" s="9" t="n">
        <v>27.9</v>
      </c>
      <c r="E10" s="8" t="n"/>
      <c r="F10" s="8" t="inlineStr">
        <is>
          <t>6-7 días laborables</t>
        </is>
      </c>
    </row>
    <row r="12">
      <c r="A12" s="3" t="inlineStr">
        <is>
          <t>Lo que cobramos al cliente (península y Baleares)</t>
        </is>
      </c>
    </row>
    <row r="13">
      <c r="A13" s="19" t="inlineStr">
        <is>
          <t>Tramo de cesta</t>
        </is>
      </c>
      <c r="B13" s="19" t="inlineStr">
        <is>
          <t>Envío cobrado</t>
        </is>
      </c>
      <c r="C13" s="19" t="inlineStr">
        <is>
          <t>Nos cuesta (AW)</t>
        </is>
      </c>
      <c r="D13" s="19" t="inlineStr">
        <is>
          <t>Margen del envío</t>
        </is>
      </c>
    </row>
    <row r="14">
      <c r="A14" s="8" t="inlineStr">
        <is>
          <t>&lt; 20 €</t>
        </is>
      </c>
      <c r="B14" s="9" t="n">
        <v>5.95</v>
      </c>
      <c r="C14" s="9" t="n">
        <v>2.95</v>
      </c>
      <c r="D14" s="18" t="n">
        <v>1.97</v>
      </c>
    </row>
    <row r="15">
      <c r="A15" s="8" t="inlineStr">
        <is>
          <t>20 € - 38,99 €</t>
        </is>
      </c>
      <c r="B15" s="9" t="n">
        <v>3.95</v>
      </c>
      <c r="C15" s="9" t="n">
        <v>2.95</v>
      </c>
      <c r="D15" s="18" t="n">
        <v>0.31</v>
      </c>
    </row>
    <row r="16">
      <c r="A16" s="8" t="inlineStr">
        <is>
          <t>≥ 39 €</t>
        </is>
      </c>
      <c r="B16" s="9" t="n">
        <v>0</v>
      </c>
      <c r="C16" s="9" t="n">
        <v>4</v>
      </c>
      <c r="D16" s="18" t="n">
        <v>-4</v>
      </c>
    </row>
    <row r="19">
      <c r="A19" s="3" t="inlineStr">
        <is>
          <t>Supuestos y comprobaciones</t>
        </is>
      </c>
    </row>
    <row r="20">
      <c r="A20" s="5" t="inlineStr">
        <is>
          <t>· PVP con IVA del 21 % incluido; ingreso neto = PVP / 1,21.</t>
        </is>
      </c>
    </row>
    <row r="21">
      <c r="A21" s="5" t="inlineStr">
        <is>
          <t>· Coste del proveedor = precio profesional del feed de AW (sin IVA). Como autónomo/empresa, el IVA soportado de compras y envíos es deducible (modelo 303); si algún mes no lo fuera, el coste subiría un 21 %.</t>
        </is>
      </c>
    </row>
    <row r="22">
      <c r="A22" s="5" t="inlineStr">
        <is>
          <t>· Pesos: peso de paquete por artículo del propio feed + 100 g de caja por pedido.</t>
        </is>
      </c>
    </row>
    <row r="23">
      <c r="A23" s="5" t="inlineStr">
        <is>
          <t>· Stripe: 1,5 % + 0,25 € por transacción europea (tarifa estándar ES para tarjetas EEE).</t>
        </is>
      </c>
    </row>
    <row r="24">
      <c r="A24" s="5" t="inlineStr">
        <is>
          <t>· Devoluciones: provisión del 3 % de los pedidos × 8 € de coste medio de ida y vuelta.</t>
        </is>
      </c>
    </row>
    <row r="25">
      <c r="A25" s="5" t="inlineStr">
        <is>
          <t>· Donación: 5 % del beneficio bruto del producto (ingreso neto − coste del proveedor). Es interna: no se publica en la web ni se añade al precio.</t>
        </is>
      </c>
    </row>
    <row r="26">
      <c r="A26" s="5" t="inlineStr">
        <is>
          <t>· Pendiente de confirmar contigo: datos fiscales, email definitivo y si el precio de compra que ves en tu panel de AW coincide con el del feed (si difiere, el beneficio cambia euro a euro).</t>
        </is>
      </c>
    </row>
  </sheetData>
  <mergeCells count="7">
    <mergeCell ref="A24:F24"/>
    <mergeCell ref="A23:F23"/>
    <mergeCell ref="A26:F26"/>
    <mergeCell ref="A22:F22"/>
    <mergeCell ref="A20:F20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2026-10-15T19:59:10Z</dcterms:created>
  <dcterms:modified xmlns:dcterms="http://purl.org/dc/terms/" xmlns:xsi="http://www.w3.org/2001/XMLSchema-instance" xsi:type="dcterms:W3CDTF">2026-10-15T19:59:10Z</dcterms:modified>
</cp:coreProperties>
</file>