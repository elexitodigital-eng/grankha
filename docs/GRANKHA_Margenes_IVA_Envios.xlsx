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uestos" sheetId="1" state="visible" r:id="rId1"/>
    <sheet xmlns:r="http://schemas.openxmlformats.org/officeDocument/2006/relationships" name="Margen por producto" sheetId="2" state="visible" r:id="rId2"/>
    <sheet xmlns:r="http://schemas.openxmlformats.org/officeDocument/2006/relationships" name="Pedido ejemplo" sheetId="3" state="visible" r:id="rId3"/>
    <sheet xmlns:r="http://schemas.openxmlformats.org/officeDocument/2006/relationships" name="Punto de equilib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 &quot;€&quot;"/>
    <numFmt numFmtId="166" formatCode="0.0"/>
  </numFmts>
  <fonts count="6">
    <font>
      <name val="Calibri"/>
      <family val="2"/>
      <color theme="1"/>
      <sz val="11"/>
      <scheme val="minor"/>
    </font>
    <font>
      <b val="1"/>
      <color rgb="000B0B0B"/>
      <sz val="14"/>
    </font>
    <font>
      <i val="1"/>
      <color rgb="00777777"/>
      <sz val="9"/>
    </font>
    <font>
      <b val="1"/>
      <color rgb="00FFFFFF"/>
      <sz val="10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B0B0B"/>
      </patternFill>
    </fill>
    <fill>
      <patternFill patternType="solid">
        <fgColor rgb="00FFF6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4" fillId="0" borderId="0" pivotButton="0" quotePrefix="0" xfId="0"/>
    <xf numFmtId="165" fontId="4" fillId="0" borderId="0" pivotButton="0" quotePrefix="0" xfId="0"/>
    <xf numFmtId="0" fontId="3" fillId="2" borderId="0" applyAlignment="1" pivotButton="0" quotePrefix="0" xfId="0">
      <alignment vertical="top" wrapText="1"/>
    </xf>
    <xf numFmtId="165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5" fillId="0" borderId="0" pivotButton="0" quotePrefix="0" xfId="0"/>
    <xf numFmtId="165" fontId="5" fillId="0" borderId="0" pivotButton="0" quotePrefix="0" xfId="0"/>
    <xf numFmtId="166" fontId="0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62" customWidth="1" min="3" max="3"/>
  </cols>
  <sheetData>
    <row r="1">
      <c r="A1" s="1" t="inlineStr">
        <is>
          <t>GRANKHA · Supuestos de cálculo</t>
        </is>
      </c>
    </row>
    <row r="2">
      <c r="A2" s="2" t="inlineStr">
        <is>
          <t>Edita solo las celdas amarillas de la columna B. El resto se recalcula.</t>
        </is>
      </c>
    </row>
    <row r="4">
      <c r="A4" s="3" t="inlineStr">
        <is>
          <t>Concepto</t>
        </is>
      </c>
      <c r="B4" s="3" t="inlineStr">
        <is>
          <t>Valor</t>
        </is>
      </c>
      <c r="C4" s="3" t="inlineStr">
        <is>
          <t>Nota</t>
        </is>
      </c>
    </row>
    <row r="5">
      <c r="A5" t="inlineStr">
        <is>
          <t>IVA español aplicado (península y Baleares)</t>
        </is>
      </c>
      <c r="B5" s="4" t="n">
        <v>0.21</v>
      </c>
      <c r="C5" t="inlineStr">
        <is>
          <t>Canarias, Ceuta y Melilla: sin IVA (IGIC/IPSI se liquida en destino).</t>
        </is>
      </c>
    </row>
    <row r="6">
      <c r="A6" t="inlineStr">
        <is>
          <t>Comisión Stripe (tarjeta europea)</t>
        </is>
      </c>
      <c r="B6" s="4" t="n">
        <v>0.015</v>
      </c>
      <c r="C6" t="inlineStr">
        <is>
          <t>Stripe España: 1,5 % + 0,25 € en tarjetas europeas.</t>
        </is>
      </c>
    </row>
    <row r="7">
      <c r="A7" t="inlineStr">
        <is>
          <t>Comisión fija Stripe por transacción</t>
        </is>
      </c>
      <c r="B7" s="5" t="n">
        <v>0.25</v>
      </c>
    </row>
    <row r="8">
      <c r="A8" t="inlineStr">
        <is>
          <t>Coste de envío del proveedor (tarifa real AW, por pedido)</t>
        </is>
      </c>
      <c r="B8" s="5" t="n">
        <v>2.95</v>
      </c>
      <c r="C8" t="inlineStr">
        <is>
          <t>VERIFICADO en aw-dropship.es/shipping (15/10/2026): 2,95 € hasta 1 kg · 4,00 € de 1 a 5 kg · 6,50 € más de 5 kg. Sin IVA (deducible).</t>
        </is>
      </c>
    </row>
    <row r="9">
      <c r="A9" t="inlineStr">
        <is>
          <t>Coste de embalaje / manipulación por pedido</t>
        </is>
      </c>
      <c r="B9" s="5" t="n">
        <v>0.6</v>
      </c>
    </row>
    <row r="10">
      <c r="A10" t="inlineStr">
        <is>
          <t>% de beneficios destinado a investigación</t>
        </is>
      </c>
      <c r="B10" s="4" t="n">
        <v>0.05</v>
      </c>
      <c r="C10" t="inlineStr">
        <is>
          <t>Compromiso GRANKHA: se reserva sobre los beneficios.</t>
        </is>
      </c>
    </row>
    <row r="11">
      <c r="A11" t="inlineStr">
        <is>
          <t>Devoluciones previstas (sobre ventas)</t>
        </is>
      </c>
      <c r="B11" s="4" t="n">
        <v>0.04</v>
      </c>
      <c r="C11" t="inlineStr">
        <is>
          <t>Estimación; ajústala con datos reales.</t>
        </is>
      </c>
    </row>
    <row r="12">
      <c r="A12" t="inlineStr">
        <is>
          <t>Coste medio de una devolución</t>
        </is>
      </c>
      <c r="B12" s="5" t="n">
        <v>9</v>
      </c>
      <c r="C12" t="inlineStr">
        <is>
          <t>Transporte de retorno + gestión.</t>
        </is>
      </c>
    </row>
    <row r="13">
      <c r="A13" t="inlineStr">
        <is>
          <t>Coste de adquisición de cliente (CAC objetivo)</t>
        </is>
      </c>
      <c r="B13" s="5" t="n">
        <v>6</v>
      </c>
      <c r="C13" t="inlineStr">
        <is>
          <t>Publicidad media por cliente nuevo (Meta/Google/TikTok).</t>
        </is>
      </c>
    </row>
    <row r="15">
      <c r="A15" s="1" t="inlineStr">
        <is>
          <t>Costes fijos mensuales</t>
        </is>
      </c>
    </row>
    <row r="16">
      <c r="A16" s="3" t="inlineStr">
        <is>
          <t>Concepto</t>
        </is>
      </c>
      <c r="B16" s="3" t="inlineStr">
        <is>
          <t>€/mes</t>
        </is>
      </c>
    </row>
    <row r="17">
      <c r="A17" t="inlineStr">
        <is>
          <t>Supabase + dominio + herramientas</t>
        </is>
      </c>
      <c r="B17" s="5" t="n">
        <v>25</v>
      </c>
    </row>
    <row r="18">
      <c r="A18" t="inlineStr">
        <is>
          <t>Gestoría, tasas y otros</t>
        </is>
      </c>
      <c r="B18" s="5" t="n">
        <v>40</v>
      </c>
    </row>
    <row r="19">
      <c r="A19" s="6" t="inlineStr">
        <is>
          <t>TOTAL costes fijos</t>
        </is>
      </c>
      <c r="B19" s="7">
        <f>SUM(B17:B18)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38" customWidth="1" min="3" max="3"/>
    <col width="18" customWidth="1" min="4" max="4"/>
    <col width="9" customWidth="1" min="5" max="5"/>
    <col width="14" customWidth="1" min="6" max="6"/>
    <col width="14" customWidth="1" min="7" max="7"/>
    <col width="11" customWidth="1" min="8" max="8"/>
    <col width="12" customWidth="1" min="9" max="9"/>
    <col width="12" customWidth="1" min="10" max="10"/>
    <col width="12" customWidth="1" min="11" max="11"/>
    <col width="10" customWidth="1" min="12" max="12"/>
    <col width="13" customWidth="1" min="13" max="13"/>
    <col width="14" customWidth="1" min="14" max="14"/>
    <col width="13" customWidth="1" min="15" max="15"/>
    <col width="12" customWidth="1" min="16" max="16"/>
  </cols>
  <sheetData>
    <row r="1">
      <c r="A1" s="1" t="inlineStr">
        <is>
          <t>Beneficio real por unidad (1 ud. por pedido, envío del proveedor repartido)</t>
        </is>
      </c>
    </row>
    <row r="2">
      <c r="A2" s="2" t="inlineStr">
        <is>
          <t>El PVP incluye IVA: el ingreso neto es PVP / (1 + IVA). Revisa tus precios con estos datos.</t>
        </is>
      </c>
    </row>
    <row r="4">
      <c r="A4" s="8" t="inlineStr">
        <is>
          <t>SKU</t>
        </is>
      </c>
      <c r="B4" s="8" t="inlineStr">
        <is>
          <t>Producto</t>
        </is>
      </c>
      <c r="C4" s="8" t="inlineStr">
        <is>
          <t>Variante</t>
        </is>
      </c>
      <c r="D4" s="8" t="inlineStr">
        <is>
          <t>Categoría</t>
        </is>
      </c>
      <c r="E4" s="8" t="inlineStr">
        <is>
          <t>Peso (g)</t>
        </is>
      </c>
      <c r="F4" s="8" t="inlineStr">
        <is>
          <t>Coste proveedor</t>
        </is>
      </c>
      <c r="G4" s="8" t="inlineStr">
        <is>
          <t>PVP (IVA incl.)</t>
        </is>
      </c>
      <c r="H4" s="8" t="inlineStr">
        <is>
          <t>IVA incluido</t>
        </is>
      </c>
      <c r="I4" s="8" t="inlineStr">
        <is>
          <t>Ingreso neto</t>
        </is>
      </c>
      <c r="J4" s="8" t="inlineStr">
        <is>
          <t>Comisión Stripe</t>
        </is>
      </c>
      <c r="K4" s="8" t="inlineStr">
        <is>
          <t>Envío proveedor</t>
        </is>
      </c>
      <c r="L4" s="8" t="inlineStr">
        <is>
          <t>Embalaje</t>
        </is>
      </c>
      <c r="M4" s="8" t="inlineStr">
        <is>
          <t>Prov. devoluciones</t>
        </is>
      </c>
      <c r="N4" s="8" t="inlineStr">
        <is>
          <t>Donación investigación</t>
        </is>
      </c>
      <c r="O4" s="8" t="inlineStr">
        <is>
          <t>BENEFICIO NETO</t>
        </is>
      </c>
      <c r="P4" s="8" t="inlineStr">
        <is>
          <t>Margen s/ingreso neto</t>
        </is>
      </c>
    </row>
    <row r="5">
      <c r="A5" t="inlineStr">
        <is>
          <t>PAWH-01</t>
        </is>
      </c>
      <c r="B5" t="inlineStr">
        <is>
          <t>Arnés de paso Guardian</t>
        </is>
      </c>
      <c r="C5" t="inlineStr">
        <is>
          <t>XS (2-4 kg) · Rosa suave · Cuarzo rosa</t>
        </is>
      </c>
      <c r="D5" t="inlineStr">
        <is>
          <t>Arneses</t>
        </is>
      </c>
      <c r="E5" t="n">
        <v>110</v>
      </c>
      <c r="F5" s="9" t="n">
        <v>18.63</v>
      </c>
      <c r="G5" s="9" t="n">
        <v>36.9</v>
      </c>
      <c r="H5" s="9">
        <f>G5-G5/(1+Supuestos!$B$5)</f>
        <v/>
      </c>
      <c r="I5" s="9">
        <f>G5/(1+Supuestos!$B$5)</f>
        <v/>
      </c>
      <c r="J5" s="9">
        <f>-G5*Supuestos!$B$6-Supuestos!$B$7</f>
        <v/>
      </c>
      <c r="K5" s="9">
        <f>-Supuestos!$B$8</f>
        <v/>
      </c>
      <c r="L5" s="9">
        <f>-Supuestos!$B$9</f>
        <v/>
      </c>
      <c r="M5" s="9">
        <f>-Supuestos!$B$11*Supuestos!$B$12</f>
        <v/>
      </c>
      <c r="N5" s="9">
        <f>-I5*Supuestos!$B$10</f>
        <v/>
      </c>
      <c r="O5" s="7">
        <f>-F5+I5+J5+K5+L5+M5+N5</f>
        <v/>
      </c>
      <c r="P5" s="10">
        <f>IF(I5=0,0,O5/I5)</f>
        <v/>
      </c>
    </row>
    <row r="6">
      <c r="A6" t="inlineStr">
        <is>
          <t>PAWH-02</t>
        </is>
      </c>
      <c r="B6" t="inlineStr">
        <is>
          <t>Arnés de paso Guardian</t>
        </is>
      </c>
      <c r="C6" t="inlineStr">
        <is>
          <t>XS (2-4 kg) · Lavanda · Amatista</t>
        </is>
      </c>
      <c r="D6" t="inlineStr">
        <is>
          <t>Arneses</t>
        </is>
      </c>
      <c r="E6" t="n">
        <v>110</v>
      </c>
      <c r="F6" s="9" t="n">
        <v>18.63</v>
      </c>
      <c r="G6" s="9" t="n">
        <v>36.9</v>
      </c>
      <c r="H6" s="9">
        <f>G6-G6/(1+Supuestos!$B$5)</f>
        <v/>
      </c>
      <c r="I6" s="9">
        <f>G6/(1+Supuestos!$B$5)</f>
        <v/>
      </c>
      <c r="J6" s="9">
        <f>-G6*Supuestos!$B$6-Supuestos!$B$7</f>
        <v/>
      </c>
      <c r="K6" s="9">
        <f>-Supuestos!$B$8</f>
        <v/>
      </c>
      <c r="L6" s="9">
        <f>-Supuestos!$B$9</f>
        <v/>
      </c>
      <c r="M6" s="9">
        <f>-Supuestos!$B$11*Supuestos!$B$12</f>
        <v/>
      </c>
      <c r="N6" s="9">
        <f>-I6*Supuestos!$B$10</f>
        <v/>
      </c>
      <c r="O6" s="7">
        <f>-F6+I6+J6+K6+L6+M6+N6</f>
        <v/>
      </c>
      <c r="P6" s="10">
        <f>IF(I6=0,0,O6/I6)</f>
        <v/>
      </c>
    </row>
    <row r="7">
      <c r="A7" t="inlineStr">
        <is>
          <t>PAWH-03</t>
        </is>
      </c>
      <c r="B7" t="inlineStr">
        <is>
          <t>Arnés de paso Guardian</t>
        </is>
      </c>
      <c r="C7" t="inlineStr">
        <is>
          <t>XS (2-4 kg) · Rock Grey · Obsidiana negra</t>
        </is>
      </c>
      <c r="D7" t="inlineStr">
        <is>
          <t>Arneses</t>
        </is>
      </c>
      <c r="E7" t="n">
        <v>110</v>
      </c>
      <c r="F7" s="9" t="n">
        <v>18.63</v>
      </c>
      <c r="G7" s="9" t="n">
        <v>36.9</v>
      </c>
      <c r="H7" s="9">
        <f>G7-G7/(1+Supuestos!$B$5)</f>
        <v/>
      </c>
      <c r="I7" s="9">
        <f>G7/(1+Supuestos!$B$5)</f>
        <v/>
      </c>
      <c r="J7" s="9">
        <f>-G7*Supuestos!$B$6-Supuestos!$B$7</f>
        <v/>
      </c>
      <c r="K7" s="9">
        <f>-Supuestos!$B$8</f>
        <v/>
      </c>
      <c r="L7" s="9">
        <f>-Supuestos!$B$9</f>
        <v/>
      </c>
      <c r="M7" s="9">
        <f>-Supuestos!$B$11*Supuestos!$B$12</f>
        <v/>
      </c>
      <c r="N7" s="9">
        <f>-I7*Supuestos!$B$10</f>
        <v/>
      </c>
      <c r="O7" s="7">
        <f>-F7+I7+J7+K7+L7+M7+N7</f>
        <v/>
      </c>
      <c r="P7" s="10">
        <f>IF(I7=0,0,O7/I7)</f>
        <v/>
      </c>
    </row>
    <row r="8">
      <c r="A8" t="inlineStr">
        <is>
          <t>PAWH-04</t>
        </is>
      </c>
      <c r="B8" t="inlineStr">
        <is>
          <t>Arnés de paso Guardian</t>
        </is>
      </c>
      <c r="C8" t="inlineStr">
        <is>
          <t>S (4-8 kg) · Rosa suave · Cuarzo rosa</t>
        </is>
      </c>
      <c r="D8" t="inlineStr">
        <is>
          <t>Arneses</t>
        </is>
      </c>
      <c r="E8" t="n">
        <v>120</v>
      </c>
      <c r="F8" s="9" t="n">
        <v>18.63</v>
      </c>
      <c r="G8" s="9" t="n">
        <v>36.9</v>
      </c>
      <c r="H8" s="9">
        <f>G8-G8/(1+Supuestos!$B$5)</f>
        <v/>
      </c>
      <c r="I8" s="9">
        <f>G8/(1+Supuestos!$B$5)</f>
        <v/>
      </c>
      <c r="J8" s="9">
        <f>-G8*Supuestos!$B$6-Supuestos!$B$7</f>
        <v/>
      </c>
      <c r="K8" s="9">
        <f>-Supuestos!$B$8</f>
        <v/>
      </c>
      <c r="L8" s="9">
        <f>-Supuestos!$B$9</f>
        <v/>
      </c>
      <c r="M8" s="9">
        <f>-Supuestos!$B$11*Supuestos!$B$12</f>
        <v/>
      </c>
      <c r="N8" s="9">
        <f>-I8*Supuestos!$B$10</f>
        <v/>
      </c>
      <c r="O8" s="7">
        <f>-F8+I8+J8+K8+L8+M8+N8</f>
        <v/>
      </c>
      <c r="P8" s="10">
        <f>IF(I8=0,0,O8/I8)</f>
        <v/>
      </c>
    </row>
    <row r="9">
      <c r="A9" t="inlineStr">
        <is>
          <t>PAWH-05</t>
        </is>
      </c>
      <c r="B9" t="inlineStr">
        <is>
          <t>Arnés de paso Guardian</t>
        </is>
      </c>
      <c r="C9" t="inlineStr">
        <is>
          <t>S (4-8 kg) · Lavanda · Amatista</t>
        </is>
      </c>
      <c r="D9" t="inlineStr">
        <is>
          <t>Arneses</t>
        </is>
      </c>
      <c r="E9" t="n">
        <v>120</v>
      </c>
      <c r="F9" s="9" t="n">
        <v>18.63</v>
      </c>
      <c r="G9" s="9" t="n">
        <v>36.9</v>
      </c>
      <c r="H9" s="9">
        <f>G9-G9/(1+Supuestos!$B$5)</f>
        <v/>
      </c>
      <c r="I9" s="9">
        <f>G9/(1+Supuestos!$B$5)</f>
        <v/>
      </c>
      <c r="J9" s="9">
        <f>-G9*Supuestos!$B$6-Supuestos!$B$7</f>
        <v/>
      </c>
      <c r="K9" s="9">
        <f>-Supuestos!$B$8</f>
        <v/>
      </c>
      <c r="L9" s="9">
        <f>-Supuestos!$B$9</f>
        <v/>
      </c>
      <c r="M9" s="9">
        <f>-Supuestos!$B$11*Supuestos!$B$12</f>
        <v/>
      </c>
      <c r="N9" s="9">
        <f>-I9*Supuestos!$B$10</f>
        <v/>
      </c>
      <c r="O9" s="7">
        <f>-F9+I9+J9+K9+L9+M9+N9</f>
        <v/>
      </c>
      <c r="P9" s="10">
        <f>IF(I9=0,0,O9/I9)</f>
        <v/>
      </c>
    </row>
    <row r="10">
      <c r="A10" t="inlineStr">
        <is>
          <t>PAWH-06</t>
        </is>
      </c>
      <c r="B10" t="inlineStr">
        <is>
          <t>Arnés de paso Guardian</t>
        </is>
      </c>
      <c r="C10" t="inlineStr">
        <is>
          <t>S (4-8 kg) · Gris roca · Obsidiana negra</t>
        </is>
      </c>
      <c r="D10" t="inlineStr">
        <is>
          <t>Arneses</t>
        </is>
      </c>
      <c r="E10" t="n">
        <v>120</v>
      </c>
      <c r="F10" s="9" t="n">
        <v>18.63</v>
      </c>
      <c r="G10" s="9" t="n">
        <v>36.9</v>
      </c>
      <c r="H10" s="9">
        <f>G10-G10/(1+Supuestos!$B$5)</f>
        <v/>
      </c>
      <c r="I10" s="9">
        <f>G10/(1+Supuestos!$B$5)</f>
        <v/>
      </c>
      <c r="J10" s="9">
        <f>-G10*Supuestos!$B$6-Supuestos!$B$7</f>
        <v/>
      </c>
      <c r="K10" s="9">
        <f>-Supuestos!$B$8</f>
        <v/>
      </c>
      <c r="L10" s="9">
        <f>-Supuestos!$B$9</f>
        <v/>
      </c>
      <c r="M10" s="9">
        <f>-Supuestos!$B$11*Supuestos!$B$12</f>
        <v/>
      </c>
      <c r="N10" s="9">
        <f>-I10*Supuestos!$B$10</f>
        <v/>
      </c>
      <c r="O10" s="7">
        <f>-F10+I10+J10+K10+L10+M10+N10</f>
        <v/>
      </c>
      <c r="P10" s="10">
        <f>IF(I10=0,0,O10/I10)</f>
        <v/>
      </c>
    </row>
    <row r="11">
      <c r="A11" t="inlineStr">
        <is>
          <t>PawL-07</t>
        </is>
      </c>
      <c r="B11" t="inlineStr">
        <is>
          <t>Correa Elephant</t>
        </is>
      </c>
      <c r="C11" t="inlineStr">
        <is>
          <t>Azul · 2 m</t>
        </is>
      </c>
      <c r="D11" t="inlineStr">
        <is>
          <t>Correas</t>
        </is>
      </c>
      <c r="E11" t="n">
        <v>189</v>
      </c>
      <c r="F11" s="9" t="n">
        <v>18.75</v>
      </c>
      <c r="G11" s="9" t="n">
        <v>34.9</v>
      </c>
      <c r="H11" s="9">
        <f>G11-G11/(1+Supuestos!$B$5)</f>
        <v/>
      </c>
      <c r="I11" s="9">
        <f>G11/(1+Supuestos!$B$5)</f>
        <v/>
      </c>
      <c r="J11" s="9">
        <f>-G11*Supuestos!$B$6-Supuestos!$B$7</f>
        <v/>
      </c>
      <c r="K11" s="9">
        <f>-Supuestos!$B$8</f>
        <v/>
      </c>
      <c r="L11" s="9">
        <f>-Supuestos!$B$9</f>
        <v/>
      </c>
      <c r="M11" s="9">
        <f>-Supuestos!$B$11*Supuestos!$B$12</f>
        <v/>
      </c>
      <c r="N11" s="9">
        <f>-I11*Supuestos!$B$10</f>
        <v/>
      </c>
      <c r="O11" s="7">
        <f>-F11+I11+J11+K11+L11+M11+N11</f>
        <v/>
      </c>
      <c r="P11" s="10">
        <f>IF(I11=0,0,O11/I11)</f>
        <v/>
      </c>
    </row>
    <row r="12">
      <c r="A12" t="inlineStr">
        <is>
          <t>PawL-08</t>
        </is>
      </c>
      <c r="B12" t="inlineStr">
        <is>
          <t>Correa Elephant</t>
        </is>
      </c>
      <c r="C12" t="inlineStr">
        <is>
          <t>Marrón · 2 m</t>
        </is>
      </c>
      <c r="D12" t="inlineStr">
        <is>
          <t>Correas</t>
        </is>
      </c>
      <c r="E12" t="n">
        <v>189</v>
      </c>
      <c r="F12" s="9" t="n">
        <v>18.75</v>
      </c>
      <c r="G12" s="9" t="n">
        <v>34.9</v>
      </c>
      <c r="H12" s="9">
        <f>G12-G12/(1+Supuestos!$B$5)</f>
        <v/>
      </c>
      <c r="I12" s="9">
        <f>G12/(1+Supuestos!$B$5)</f>
        <v/>
      </c>
      <c r="J12" s="9">
        <f>-G12*Supuestos!$B$6-Supuestos!$B$7</f>
        <v/>
      </c>
      <c r="K12" s="9">
        <f>-Supuestos!$B$8</f>
        <v/>
      </c>
      <c r="L12" s="9">
        <f>-Supuestos!$B$9</f>
        <v/>
      </c>
      <c r="M12" s="9">
        <f>-Supuestos!$B$11*Supuestos!$B$12</f>
        <v/>
      </c>
      <c r="N12" s="9">
        <f>-I12*Supuestos!$B$10</f>
        <v/>
      </c>
      <c r="O12" s="7">
        <f>-F12+I12+J12+K12+L12+M12+N12</f>
        <v/>
      </c>
      <c r="P12" s="10">
        <f>IF(I12=0,0,O12/I12)</f>
        <v/>
      </c>
    </row>
    <row r="13">
      <c r="A13" t="inlineStr">
        <is>
          <t>PawL-09</t>
        </is>
      </c>
      <c r="B13" t="inlineStr">
        <is>
          <t>Correa Elephant</t>
        </is>
      </c>
      <c r="C13" t="inlineStr">
        <is>
          <t>Gris · 2 m</t>
        </is>
      </c>
      <c r="D13" t="inlineStr">
        <is>
          <t>Correas</t>
        </is>
      </c>
      <c r="E13" t="n">
        <v>189</v>
      </c>
      <c r="F13" s="9" t="n">
        <v>18.75</v>
      </c>
      <c r="G13" s="9" t="n">
        <v>34.9</v>
      </c>
      <c r="H13" s="9">
        <f>G13-G13/(1+Supuestos!$B$5)</f>
        <v/>
      </c>
      <c r="I13" s="9">
        <f>G13/(1+Supuestos!$B$5)</f>
        <v/>
      </c>
      <c r="J13" s="9">
        <f>-G13*Supuestos!$B$6-Supuestos!$B$7</f>
        <v/>
      </c>
      <c r="K13" s="9">
        <f>-Supuestos!$B$8</f>
        <v/>
      </c>
      <c r="L13" s="9">
        <f>-Supuestos!$B$9</f>
        <v/>
      </c>
      <c r="M13" s="9">
        <f>-Supuestos!$B$11*Supuestos!$B$12</f>
        <v/>
      </c>
      <c r="N13" s="9">
        <f>-I13*Supuestos!$B$10</f>
        <v/>
      </c>
      <c r="O13" s="7">
        <f>-F13+I13+J13+K13+L13+M13+N13</f>
        <v/>
      </c>
      <c r="P13" s="10">
        <f>IF(I13=0,0,O13/I13)</f>
        <v/>
      </c>
    </row>
    <row r="14">
      <c r="A14" t="inlineStr">
        <is>
          <t>PawL-04</t>
        </is>
      </c>
      <c r="B14" t="inlineStr">
        <is>
          <t>Correa Mini Mango</t>
        </is>
      </c>
      <c r="C14" t="inlineStr">
        <is>
          <t>Amarillo · 3 m</t>
        </is>
      </c>
      <c r="D14" t="inlineStr">
        <is>
          <t>Correas</t>
        </is>
      </c>
      <c r="E14" t="n">
        <v>122</v>
      </c>
      <c r="F14" s="9" t="n">
        <v>15.75</v>
      </c>
      <c r="G14" s="9" t="n">
        <v>29.9</v>
      </c>
      <c r="H14" s="9">
        <f>G14-G14/(1+Supuestos!$B$5)</f>
        <v/>
      </c>
      <c r="I14" s="9">
        <f>G14/(1+Supuestos!$B$5)</f>
        <v/>
      </c>
      <c r="J14" s="9">
        <f>-G14*Supuestos!$B$6-Supuestos!$B$7</f>
        <v/>
      </c>
      <c r="K14" s="9">
        <f>-Supuestos!$B$8</f>
        <v/>
      </c>
      <c r="L14" s="9">
        <f>-Supuestos!$B$9</f>
        <v/>
      </c>
      <c r="M14" s="9">
        <f>-Supuestos!$B$11*Supuestos!$B$12</f>
        <v/>
      </c>
      <c r="N14" s="9">
        <f>-I14*Supuestos!$B$10</f>
        <v/>
      </c>
      <c r="O14" s="7">
        <f>-F14+I14+J14+K14+L14+M14+N14</f>
        <v/>
      </c>
      <c r="P14" s="10">
        <f>IF(I14=0,0,O14/I14)</f>
        <v/>
      </c>
    </row>
    <row r="15">
      <c r="A15" t="inlineStr">
        <is>
          <t>PawL-05</t>
        </is>
      </c>
      <c r="B15" t="inlineStr">
        <is>
          <t>Correa Mini Mango</t>
        </is>
      </c>
      <c r="C15" t="inlineStr">
        <is>
          <t>Ciruela · 3 m</t>
        </is>
      </c>
      <c r="D15" t="inlineStr">
        <is>
          <t>Correas</t>
        </is>
      </c>
      <c r="E15" t="n">
        <v>122</v>
      </c>
      <c r="F15" s="9" t="n">
        <v>15.75</v>
      </c>
      <c r="G15" s="9" t="n">
        <v>29.9</v>
      </c>
      <c r="H15" s="9">
        <f>G15-G15/(1+Supuestos!$B$5)</f>
        <v/>
      </c>
      <c r="I15" s="9">
        <f>G15/(1+Supuestos!$B$5)</f>
        <v/>
      </c>
      <c r="J15" s="9">
        <f>-G15*Supuestos!$B$6-Supuestos!$B$7</f>
        <v/>
      </c>
      <c r="K15" s="9">
        <f>-Supuestos!$B$8</f>
        <v/>
      </c>
      <c r="L15" s="9">
        <f>-Supuestos!$B$9</f>
        <v/>
      </c>
      <c r="M15" s="9">
        <f>-Supuestos!$B$11*Supuestos!$B$12</f>
        <v/>
      </c>
      <c r="N15" s="9">
        <f>-I15*Supuestos!$B$10</f>
        <v/>
      </c>
      <c r="O15" s="7">
        <f>-F15+I15+J15+K15+L15+M15+N15</f>
        <v/>
      </c>
      <c r="P15" s="10">
        <f>IF(I15=0,0,O15/I15)</f>
        <v/>
      </c>
    </row>
    <row r="16">
      <c r="A16" t="inlineStr">
        <is>
          <t>PawL-06</t>
        </is>
      </c>
      <c r="B16" t="inlineStr">
        <is>
          <t>Correa Mini Mango</t>
        </is>
      </c>
      <c r="C16" t="inlineStr">
        <is>
          <t>Durazno · 3 m</t>
        </is>
      </c>
      <c r="D16" t="inlineStr">
        <is>
          <t>Correas</t>
        </is>
      </c>
      <c r="E16" t="n">
        <v>122</v>
      </c>
      <c r="F16" s="9" t="n">
        <v>15.75</v>
      </c>
      <c r="G16" s="9" t="n">
        <v>29.9</v>
      </c>
      <c r="H16" s="9">
        <f>G16-G16/(1+Supuestos!$B$5)</f>
        <v/>
      </c>
      <c r="I16" s="9">
        <f>G16/(1+Supuestos!$B$5)</f>
        <v/>
      </c>
      <c r="J16" s="9">
        <f>-G16*Supuestos!$B$6-Supuestos!$B$7</f>
        <v/>
      </c>
      <c r="K16" s="9">
        <f>-Supuestos!$B$8</f>
        <v/>
      </c>
      <c r="L16" s="9">
        <f>-Supuestos!$B$9</f>
        <v/>
      </c>
      <c r="M16" s="9">
        <f>-Supuestos!$B$11*Supuestos!$B$12</f>
        <v/>
      </c>
      <c r="N16" s="9">
        <f>-I16*Supuestos!$B$10</f>
        <v/>
      </c>
      <c r="O16" s="7">
        <f>-F16+I16+J16+K16+L16+M16+N16</f>
        <v/>
      </c>
      <c r="P16" s="10">
        <f>IF(I16=0,0,O16/I16)</f>
        <v/>
      </c>
    </row>
    <row r="17">
      <c r="A17" t="inlineStr">
        <is>
          <t>PawL-01</t>
        </is>
      </c>
      <c r="B17" t="inlineStr">
        <is>
          <t>Correa Pocket Pod</t>
        </is>
      </c>
      <c r="C17" t="inlineStr">
        <is>
          <t>Rosa · 1,5 m</t>
        </is>
      </c>
      <c r="D17" t="inlineStr">
        <is>
          <t>Correas</t>
        </is>
      </c>
      <c r="E17" t="n">
        <v>112</v>
      </c>
      <c r="F17" s="9" t="n">
        <v>12</v>
      </c>
      <c r="G17" s="9" t="n">
        <v>21.9</v>
      </c>
      <c r="H17" s="9">
        <f>G17-G17/(1+Supuestos!$B$5)</f>
        <v/>
      </c>
      <c r="I17" s="9">
        <f>G17/(1+Supuestos!$B$5)</f>
        <v/>
      </c>
      <c r="J17" s="9">
        <f>-G17*Supuestos!$B$6-Supuestos!$B$7</f>
        <v/>
      </c>
      <c r="K17" s="9">
        <f>-Supuestos!$B$8</f>
        <v/>
      </c>
      <c r="L17" s="9">
        <f>-Supuestos!$B$9</f>
        <v/>
      </c>
      <c r="M17" s="9">
        <f>-Supuestos!$B$11*Supuestos!$B$12</f>
        <v/>
      </c>
      <c r="N17" s="9">
        <f>-I17*Supuestos!$B$10</f>
        <v/>
      </c>
      <c r="O17" s="7">
        <f>-F17+I17+J17+K17+L17+M17+N17</f>
        <v/>
      </c>
      <c r="P17" s="10">
        <f>IF(I17=0,0,O17/I17)</f>
        <v/>
      </c>
    </row>
    <row r="18">
      <c r="A18" t="inlineStr">
        <is>
          <t>PawL-02</t>
        </is>
      </c>
      <c r="B18" t="inlineStr">
        <is>
          <t>Correa Pocket Pod</t>
        </is>
      </c>
      <c r="C18" t="inlineStr">
        <is>
          <t>Verde · 1,5 m</t>
        </is>
      </c>
      <c r="D18" t="inlineStr">
        <is>
          <t>Correas</t>
        </is>
      </c>
      <c r="E18" t="n">
        <v>112</v>
      </c>
      <c r="F18" s="9" t="n">
        <v>12</v>
      </c>
      <c r="G18" s="9" t="n">
        <v>21.9</v>
      </c>
      <c r="H18" s="9">
        <f>G18-G18/(1+Supuestos!$B$5)</f>
        <v/>
      </c>
      <c r="I18" s="9">
        <f>G18/(1+Supuestos!$B$5)</f>
        <v/>
      </c>
      <c r="J18" s="9">
        <f>-G18*Supuestos!$B$6-Supuestos!$B$7</f>
        <v/>
      </c>
      <c r="K18" s="9">
        <f>-Supuestos!$B$8</f>
        <v/>
      </c>
      <c r="L18" s="9">
        <f>-Supuestos!$B$9</f>
        <v/>
      </c>
      <c r="M18" s="9">
        <f>-Supuestos!$B$11*Supuestos!$B$12</f>
        <v/>
      </c>
      <c r="N18" s="9">
        <f>-I18*Supuestos!$B$10</f>
        <v/>
      </c>
      <c r="O18" s="7">
        <f>-F18+I18+J18+K18+L18+M18+N18</f>
        <v/>
      </c>
      <c r="P18" s="10">
        <f>IF(I18=0,0,O18/I18)</f>
        <v/>
      </c>
    </row>
    <row r="19">
      <c r="A19" t="inlineStr">
        <is>
          <t>PawL-03</t>
        </is>
      </c>
      <c r="B19" t="inlineStr">
        <is>
          <t>Correa Pocket Pod</t>
        </is>
      </c>
      <c r="C19" t="inlineStr">
        <is>
          <t>Blanco · 1,5 m</t>
        </is>
      </c>
      <c r="D19" t="inlineStr">
        <is>
          <t>Correas</t>
        </is>
      </c>
      <c r="E19" t="n">
        <v>112</v>
      </c>
      <c r="F19" s="9" t="n">
        <v>12</v>
      </c>
      <c r="G19" s="9" t="n">
        <v>21.9</v>
      </c>
      <c r="H19" s="9">
        <f>G19-G19/(1+Supuestos!$B$5)</f>
        <v/>
      </c>
      <c r="I19" s="9">
        <f>G19/(1+Supuestos!$B$5)</f>
        <v/>
      </c>
      <c r="J19" s="9">
        <f>-G19*Supuestos!$B$6-Supuestos!$B$7</f>
        <v/>
      </c>
      <c r="K19" s="9">
        <f>-Supuestos!$B$8</f>
        <v/>
      </c>
      <c r="L19" s="9">
        <f>-Supuestos!$B$9</f>
        <v/>
      </c>
      <c r="M19" s="9">
        <f>-Supuestos!$B$11*Supuestos!$B$12</f>
        <v/>
      </c>
      <c r="N19" s="9">
        <f>-I19*Supuestos!$B$10</f>
        <v/>
      </c>
      <c r="O19" s="7">
        <f>-F19+I19+J19+K19+L19+M19+N19</f>
        <v/>
      </c>
      <c r="P19" s="10">
        <f>IF(I19=0,0,O19/I19)</f>
        <v/>
      </c>
    </row>
    <row r="20">
      <c r="A20" t="inlineStr">
        <is>
          <t>PawB-01</t>
        </is>
      </c>
      <c r="B20" t="inlineStr">
        <is>
          <t>Cama Teddy</t>
        </is>
      </c>
      <c r="C20" t="inlineStr">
        <is>
          <t>Pequeña · 60 × 45 × 17 cm · Peluche marrón</t>
        </is>
      </c>
      <c r="D20" t="inlineStr">
        <is>
          <t>Camas</t>
        </is>
      </c>
      <c r="E20" t="n">
        <v>760</v>
      </c>
      <c r="F20" s="9" t="n">
        <v>16.81</v>
      </c>
      <c r="G20" s="9" t="n">
        <v>34.9</v>
      </c>
      <c r="H20" s="9">
        <f>G20-G20/(1+Supuestos!$B$5)</f>
        <v/>
      </c>
      <c r="I20" s="9">
        <f>G20/(1+Supuestos!$B$5)</f>
        <v/>
      </c>
      <c r="J20" s="9">
        <f>-G20*Supuestos!$B$6-Supuestos!$B$7</f>
        <v/>
      </c>
      <c r="K20" s="9">
        <f>-Supuestos!$B$8</f>
        <v/>
      </c>
      <c r="L20" s="9">
        <f>-Supuestos!$B$9</f>
        <v/>
      </c>
      <c r="M20" s="9">
        <f>-Supuestos!$B$11*Supuestos!$B$12</f>
        <v/>
      </c>
      <c r="N20" s="9">
        <f>-I20*Supuestos!$B$10</f>
        <v/>
      </c>
      <c r="O20" s="7">
        <f>-F20+I20+J20+K20+L20+M20+N20</f>
        <v/>
      </c>
      <c r="P20" s="10">
        <f>IF(I20=0,0,O20/I20)</f>
        <v/>
      </c>
    </row>
    <row r="21">
      <c r="A21" t="inlineStr">
        <is>
          <t>PawB-05</t>
        </is>
      </c>
      <c r="B21" t="inlineStr">
        <is>
          <t>Cama Lucky Elephant</t>
        </is>
      </c>
      <c r="C21" t="inlineStr">
        <is>
          <t>60 × 50 × 14 cm · Estampado rojo</t>
        </is>
      </c>
      <c r="D21" t="inlineStr">
        <is>
          <t>Camas</t>
        </is>
      </c>
      <c r="E21" t="n">
        <v>960</v>
      </c>
      <c r="F21" s="9" t="n">
        <v>16.81</v>
      </c>
      <c r="G21" s="9" t="n">
        <v>37.9</v>
      </c>
      <c r="H21" s="9">
        <f>G21-G21/(1+Supuestos!$B$5)</f>
        <v/>
      </c>
      <c r="I21" s="9">
        <f>G21/(1+Supuestos!$B$5)</f>
        <v/>
      </c>
      <c r="J21" s="9">
        <f>-G21*Supuestos!$B$6-Supuestos!$B$7</f>
        <v/>
      </c>
      <c r="K21" s="9">
        <f>-Supuestos!$B$8</f>
        <v/>
      </c>
      <c r="L21" s="9">
        <f>-Supuestos!$B$9</f>
        <v/>
      </c>
      <c r="M21" s="9">
        <f>-Supuestos!$B$11*Supuestos!$B$12</f>
        <v/>
      </c>
      <c r="N21" s="9">
        <f>-I21*Supuestos!$B$10</f>
        <v/>
      </c>
      <c r="O21" s="7">
        <f>-F21+I21+J21+K21+L21+M21+N21</f>
        <v/>
      </c>
      <c r="P21" s="10">
        <f>IF(I21=0,0,O21/I21)</f>
        <v/>
      </c>
    </row>
    <row r="22">
      <c r="A22" t="inlineStr">
        <is>
          <t>PawB-06</t>
        </is>
      </c>
      <c r="B22" t="inlineStr">
        <is>
          <t>Cama Lucky Elephant</t>
        </is>
      </c>
      <c r="C22" t="inlineStr">
        <is>
          <t>60 × 50 × 14 cm · Estampado verde</t>
        </is>
      </c>
      <c r="D22" t="inlineStr">
        <is>
          <t>Camas</t>
        </is>
      </c>
      <c r="E22" t="n">
        <v>960</v>
      </c>
      <c r="F22" s="9" t="n">
        <v>16.81</v>
      </c>
      <c r="G22" s="9" t="n">
        <v>37.9</v>
      </c>
      <c r="H22" s="9">
        <f>G22-G22/(1+Supuestos!$B$5)</f>
        <v/>
      </c>
      <c r="I22" s="9">
        <f>G22/(1+Supuestos!$B$5)</f>
        <v/>
      </c>
      <c r="J22" s="9">
        <f>-G22*Supuestos!$B$6-Supuestos!$B$7</f>
        <v/>
      </c>
      <c r="K22" s="9">
        <f>-Supuestos!$B$8</f>
        <v/>
      </c>
      <c r="L22" s="9">
        <f>-Supuestos!$B$9</f>
        <v/>
      </c>
      <c r="M22" s="9">
        <f>-Supuestos!$B$11*Supuestos!$B$12</f>
        <v/>
      </c>
      <c r="N22" s="9">
        <f>-I22*Supuestos!$B$10</f>
        <v/>
      </c>
      <c r="O22" s="7">
        <f>-F22+I22+J22+K22+L22+M22+N22</f>
        <v/>
      </c>
      <c r="P22" s="10">
        <f>IF(I22=0,0,O22/I22)</f>
        <v/>
      </c>
    </row>
    <row r="23">
      <c r="A23" t="inlineStr">
        <is>
          <t>PawB-03</t>
        </is>
      </c>
      <c r="B23" t="inlineStr">
        <is>
          <t>Cama acolchada caqui</t>
        </is>
      </c>
      <c r="C23" t="inlineStr">
        <is>
          <t>Pequeña · 60 × 50 × 15 cm · Verde caqui</t>
        </is>
      </c>
      <c r="D23" t="inlineStr">
        <is>
          <t>Camas</t>
        </is>
      </c>
      <c r="E23" t="n">
        <v>1330</v>
      </c>
      <c r="F23" s="9" t="n">
        <v>19.69</v>
      </c>
      <c r="G23" s="9" t="n">
        <v>39.9</v>
      </c>
      <c r="H23" s="9">
        <f>G23-G23/(1+Supuestos!$B$5)</f>
        <v/>
      </c>
      <c r="I23" s="9">
        <f>G23/(1+Supuestos!$B$5)</f>
        <v/>
      </c>
      <c r="J23" s="9">
        <f>-G23*Supuestos!$B$6-Supuestos!$B$7</f>
        <v/>
      </c>
      <c r="K23" s="9">
        <f>-Supuestos!$B$8</f>
        <v/>
      </c>
      <c r="L23" s="9">
        <f>-Supuestos!$B$9</f>
        <v/>
      </c>
      <c r="M23" s="9">
        <f>-Supuestos!$B$11*Supuestos!$B$12</f>
        <v/>
      </c>
      <c r="N23" s="9">
        <f>-I23*Supuestos!$B$10</f>
        <v/>
      </c>
      <c r="O23" s="7">
        <f>-F23+I23+J23+K23+L23+M23+N23</f>
        <v/>
      </c>
      <c r="P23" s="10">
        <f>IF(I23=0,0,O23/I23)</f>
        <v/>
      </c>
    </row>
    <row r="24">
      <c r="A24" t="inlineStr">
        <is>
          <t>PawB-09</t>
        </is>
      </c>
      <c r="B24" t="inlineStr">
        <is>
          <t>Cama Corona Real</t>
        </is>
      </c>
      <c r="C24" t="inlineStr">
        <is>
          <t>Mediana · 50 × 50 × 26 cm · Arena y gris</t>
        </is>
      </c>
      <c r="D24" t="inlineStr">
        <is>
          <t>Camas</t>
        </is>
      </c>
      <c r="E24" t="n">
        <v>840</v>
      </c>
      <c r="F24" s="9" t="n">
        <v>18</v>
      </c>
      <c r="G24" s="9" t="n">
        <v>39.9</v>
      </c>
      <c r="H24" s="9">
        <f>G24-G24/(1+Supuestos!$B$5)</f>
        <v/>
      </c>
      <c r="I24" s="9">
        <f>G24/(1+Supuestos!$B$5)</f>
        <v/>
      </c>
      <c r="J24" s="9">
        <f>-G24*Supuestos!$B$6-Supuestos!$B$7</f>
        <v/>
      </c>
      <c r="K24" s="9">
        <f>-Supuestos!$B$8</f>
        <v/>
      </c>
      <c r="L24" s="9">
        <f>-Supuestos!$B$9</f>
        <v/>
      </c>
      <c r="M24" s="9">
        <f>-Supuestos!$B$11*Supuestos!$B$12</f>
        <v/>
      </c>
      <c r="N24" s="9">
        <f>-I24*Supuestos!$B$10</f>
        <v/>
      </c>
      <c r="O24" s="7">
        <f>-F24+I24+J24+K24+L24+M24+N24</f>
        <v/>
      </c>
      <c r="P24" s="10">
        <f>IF(I24=0,0,O24/I24)</f>
        <v/>
      </c>
    </row>
    <row r="25">
      <c r="A25" t="inlineStr">
        <is>
          <t>PawB-11</t>
        </is>
      </c>
      <c r="B25" t="inlineStr">
        <is>
          <t>Cama Patita</t>
        </is>
      </c>
      <c r="C25" t="inlineStr">
        <is>
          <t>Mediana · 60 cm · Felpa beige</t>
        </is>
      </c>
      <c r="D25" t="inlineStr">
        <is>
          <t>Camas</t>
        </is>
      </c>
      <c r="E25" t="n">
        <v>1000</v>
      </c>
      <c r="F25" s="9" t="n">
        <v>18.13</v>
      </c>
      <c r="G25" s="9" t="n">
        <v>42.9</v>
      </c>
      <c r="H25" s="9">
        <f>G25-G25/(1+Supuestos!$B$5)</f>
        <v/>
      </c>
      <c r="I25" s="9">
        <f>G25/(1+Supuestos!$B$5)</f>
        <v/>
      </c>
      <c r="J25" s="9">
        <f>-G25*Supuestos!$B$6-Supuestos!$B$7</f>
        <v/>
      </c>
      <c r="K25" s="9">
        <f>-Supuestos!$B$8</f>
        <v/>
      </c>
      <c r="L25" s="9">
        <f>-Supuestos!$B$9</f>
        <v/>
      </c>
      <c r="M25" s="9">
        <f>-Supuestos!$B$11*Supuestos!$B$12</f>
        <v/>
      </c>
      <c r="N25" s="9">
        <f>-I25*Supuestos!$B$10</f>
        <v/>
      </c>
      <c r="O25" s="7">
        <f>-F25+I25+J25+K25+L25+M25+N25</f>
        <v/>
      </c>
      <c r="P25" s="10">
        <f>IF(I25=0,0,O25/I25)</f>
        <v/>
      </c>
    </row>
    <row r="26">
      <c r="A26" t="inlineStr">
        <is>
          <t>PawB-02</t>
        </is>
      </c>
      <c r="B26" t="inlineStr">
        <is>
          <t>Cama Teddy</t>
        </is>
      </c>
      <c r="C26" t="inlineStr">
        <is>
          <t>Mediana · 70 × 55 × 18 cm · Peluche marrón</t>
        </is>
      </c>
      <c r="D26" t="inlineStr">
        <is>
          <t>Camas</t>
        </is>
      </c>
      <c r="E26" t="n">
        <v>1000</v>
      </c>
      <c r="F26" s="9" t="n">
        <v>21.31</v>
      </c>
      <c r="G26" s="9" t="n">
        <v>44.9</v>
      </c>
      <c r="H26" s="9">
        <f>G26-G26/(1+Supuestos!$B$5)</f>
        <v/>
      </c>
      <c r="I26" s="9">
        <f>G26/(1+Supuestos!$B$5)</f>
        <v/>
      </c>
      <c r="J26" s="9">
        <f>-G26*Supuestos!$B$6-Supuestos!$B$7</f>
        <v/>
      </c>
      <c r="K26" s="9">
        <f>-Supuestos!$B$8</f>
        <v/>
      </c>
      <c r="L26" s="9">
        <f>-Supuestos!$B$9</f>
        <v/>
      </c>
      <c r="M26" s="9">
        <f>-Supuestos!$B$11*Supuestos!$B$12</f>
        <v/>
      </c>
      <c r="N26" s="9">
        <f>-I26*Supuestos!$B$10</f>
        <v/>
      </c>
      <c r="O26" s="7">
        <f>-F26+I26+J26+K26+L26+M26+N26</f>
        <v/>
      </c>
      <c r="P26" s="10">
        <f>IF(I26=0,0,O26/I26)</f>
        <v/>
      </c>
    </row>
    <row r="27">
      <c r="A27" t="inlineStr">
        <is>
          <t>PawB-07</t>
        </is>
      </c>
      <c r="B27" t="inlineStr">
        <is>
          <t>Cama sofá</t>
        </is>
      </c>
      <c r="C27" t="inlineStr">
        <is>
          <t>Pequeña · 50 × 50 × 26 cm · Rayas marrones</t>
        </is>
      </c>
      <c r="D27" t="inlineStr">
        <is>
          <t>Camas</t>
        </is>
      </c>
      <c r="E27" t="n">
        <v>1250</v>
      </c>
      <c r="F27" s="9" t="n">
        <v>21.75</v>
      </c>
      <c r="G27" s="9" t="n">
        <v>44.9</v>
      </c>
      <c r="H27" s="9">
        <f>G27-G27/(1+Supuestos!$B$5)</f>
        <v/>
      </c>
      <c r="I27" s="9">
        <f>G27/(1+Supuestos!$B$5)</f>
        <v/>
      </c>
      <c r="J27" s="9">
        <f>-G27*Supuestos!$B$6-Supuestos!$B$7</f>
        <v/>
      </c>
      <c r="K27" s="9">
        <f>-Supuestos!$B$8</f>
        <v/>
      </c>
      <c r="L27" s="9">
        <f>-Supuestos!$B$9</f>
        <v/>
      </c>
      <c r="M27" s="9">
        <f>-Supuestos!$B$11*Supuestos!$B$12</f>
        <v/>
      </c>
      <c r="N27" s="9">
        <f>-I27*Supuestos!$B$10</f>
        <v/>
      </c>
      <c r="O27" s="7">
        <f>-F27+I27+J27+K27+L27+M27+N27</f>
        <v/>
      </c>
      <c r="P27" s="10">
        <f>IF(I27=0,0,O27/I27)</f>
        <v/>
      </c>
    </row>
    <row r="28">
      <c r="A28" t="inlineStr">
        <is>
          <t>PawB-13</t>
        </is>
      </c>
      <c r="B28" t="inlineStr">
        <is>
          <t>Cama tienda (iglú)</t>
        </is>
      </c>
      <c r="C28" t="inlineStr">
        <is>
          <t>48 × 48 × 40 cm · Verde y naranja</t>
        </is>
      </c>
      <c r="D28" t="inlineStr">
        <is>
          <t>Camas</t>
        </is>
      </c>
      <c r="E28" t="n">
        <v>500</v>
      </c>
      <c r="F28" s="9" t="n">
        <v>20.13</v>
      </c>
      <c r="G28" s="9" t="n">
        <v>44.9</v>
      </c>
      <c r="H28" s="9">
        <f>G28-G28/(1+Supuestos!$B$5)</f>
        <v/>
      </c>
      <c r="I28" s="9">
        <f>G28/(1+Supuestos!$B$5)</f>
        <v/>
      </c>
      <c r="J28" s="9">
        <f>-G28*Supuestos!$B$6-Supuestos!$B$7</f>
        <v/>
      </c>
      <c r="K28" s="9">
        <f>-Supuestos!$B$8</f>
        <v/>
      </c>
      <c r="L28" s="9">
        <f>-Supuestos!$B$9</f>
        <v/>
      </c>
      <c r="M28" s="9">
        <f>-Supuestos!$B$11*Supuestos!$B$12</f>
        <v/>
      </c>
      <c r="N28" s="9">
        <f>-I28*Supuestos!$B$10</f>
        <v/>
      </c>
      <c r="O28" s="7">
        <f>-F28+I28+J28+K28+L28+M28+N28</f>
        <v/>
      </c>
      <c r="P28" s="10">
        <f>IF(I28=0,0,O28/I28)</f>
        <v/>
      </c>
    </row>
    <row r="29">
      <c r="A29" t="inlineStr">
        <is>
          <t>PawB-10</t>
        </is>
      </c>
      <c r="B29" t="inlineStr">
        <is>
          <t>Cama Corona Real</t>
        </is>
      </c>
      <c r="C29" t="inlineStr">
        <is>
          <t>Grande · 50 × 50 × 26 cm · Negro y gris</t>
        </is>
      </c>
      <c r="D29" t="inlineStr">
        <is>
          <t>Camas</t>
        </is>
      </c>
      <c r="E29" t="n">
        <v>1000</v>
      </c>
      <c r="F29" s="9" t="n">
        <v>21.75</v>
      </c>
      <c r="G29" s="9" t="n">
        <v>46.9</v>
      </c>
      <c r="H29" s="9">
        <f>G29-G29/(1+Supuestos!$B$5)</f>
        <v/>
      </c>
      <c r="I29" s="9">
        <f>G29/(1+Supuestos!$B$5)</f>
        <v/>
      </c>
      <c r="J29" s="9">
        <f>-G29*Supuestos!$B$6-Supuestos!$B$7</f>
        <v/>
      </c>
      <c r="K29" s="9">
        <f>-Supuestos!$B$8</f>
        <v/>
      </c>
      <c r="L29" s="9">
        <f>-Supuestos!$B$9</f>
        <v/>
      </c>
      <c r="M29" s="9">
        <f>-Supuestos!$B$11*Supuestos!$B$12</f>
        <v/>
      </c>
      <c r="N29" s="9">
        <f>-I29*Supuestos!$B$10</f>
        <v/>
      </c>
      <c r="O29" s="7">
        <f>-F29+I29+J29+K29+L29+M29+N29</f>
        <v/>
      </c>
      <c r="P29" s="10">
        <f>IF(I29=0,0,O29/I29)</f>
        <v/>
      </c>
    </row>
    <row r="30">
      <c r="A30" t="inlineStr">
        <is>
          <t>PawB-12</t>
        </is>
      </c>
      <c r="B30" t="inlineStr">
        <is>
          <t>Cama Patita</t>
        </is>
      </c>
      <c r="C30" t="inlineStr">
        <is>
          <t>Grande · 70 cm · Felpa beige</t>
        </is>
      </c>
      <c r="D30" t="inlineStr">
        <is>
          <t>Camas</t>
        </is>
      </c>
      <c r="E30" t="n">
        <v>1360</v>
      </c>
      <c r="F30" s="9" t="n">
        <v>22.63</v>
      </c>
      <c r="G30" s="9" t="n">
        <v>49.9</v>
      </c>
      <c r="H30" s="9">
        <f>G30-G30/(1+Supuestos!$B$5)</f>
        <v/>
      </c>
      <c r="I30" s="9">
        <f>G30/(1+Supuestos!$B$5)</f>
        <v/>
      </c>
      <c r="J30" s="9">
        <f>-G30*Supuestos!$B$6-Supuestos!$B$7</f>
        <v/>
      </c>
      <c r="K30" s="9">
        <f>-Supuestos!$B$8</f>
        <v/>
      </c>
      <c r="L30" s="9">
        <f>-Supuestos!$B$9</f>
        <v/>
      </c>
      <c r="M30" s="9">
        <f>-Supuestos!$B$11*Supuestos!$B$12</f>
        <v/>
      </c>
      <c r="N30" s="9">
        <f>-I30*Supuestos!$B$10</f>
        <v/>
      </c>
      <c r="O30" s="7">
        <f>-F30+I30+J30+K30+L30+M30+N30</f>
        <v/>
      </c>
      <c r="P30" s="10">
        <f>IF(I30=0,0,O30/I30)</f>
        <v/>
      </c>
    </row>
    <row r="31">
      <c r="A31" t="inlineStr">
        <is>
          <t>PawB-04</t>
        </is>
      </c>
      <c r="B31" t="inlineStr">
        <is>
          <t>Cama acolchada caqui</t>
        </is>
      </c>
      <c r="C31" t="inlineStr">
        <is>
          <t>Mediana · 70 × 60 × 15 cm · Caqui beige</t>
        </is>
      </c>
      <c r="D31" t="inlineStr">
        <is>
          <t>Camas</t>
        </is>
      </c>
      <c r="E31" t="n">
        <v>1600</v>
      </c>
      <c r="F31" s="9" t="n">
        <v>25.19</v>
      </c>
      <c r="G31" s="9" t="n">
        <v>52.9</v>
      </c>
      <c r="H31" s="9">
        <f>G31-G31/(1+Supuestos!$B$5)</f>
        <v/>
      </c>
      <c r="I31" s="9">
        <f>G31/(1+Supuestos!$B$5)</f>
        <v/>
      </c>
      <c r="J31" s="9">
        <f>-G31*Supuestos!$B$6-Supuestos!$B$7</f>
        <v/>
      </c>
      <c r="K31" s="9">
        <f>-Supuestos!$B$8</f>
        <v/>
      </c>
      <c r="L31" s="9">
        <f>-Supuestos!$B$9</f>
        <v/>
      </c>
      <c r="M31" s="9">
        <f>-Supuestos!$B$11*Supuestos!$B$12</f>
        <v/>
      </c>
      <c r="N31" s="9">
        <f>-I31*Supuestos!$B$10</f>
        <v/>
      </c>
      <c r="O31" s="7">
        <f>-F31+I31+J31+K31+L31+M31+N31</f>
        <v/>
      </c>
      <c r="P31" s="10">
        <f>IF(I31=0,0,O31/I31)</f>
        <v/>
      </c>
    </row>
    <row r="32">
      <c r="A32" t="inlineStr">
        <is>
          <t>PawB-08</t>
        </is>
      </c>
      <c r="B32" t="inlineStr">
        <is>
          <t>Cama sofá</t>
        </is>
      </c>
      <c r="C32" t="inlineStr">
        <is>
          <t>Mediana · 60 × 60 × 28 cm · Rayas marrones</t>
        </is>
      </c>
      <c r="D32" t="inlineStr">
        <is>
          <t>Camas</t>
        </is>
      </c>
      <c r="E32" t="n">
        <v>1570</v>
      </c>
      <c r="F32" s="9" t="n">
        <v>27.44</v>
      </c>
      <c r="G32" s="9" t="n">
        <v>56.9</v>
      </c>
      <c r="H32" s="9">
        <f>G32-G32/(1+Supuestos!$B$5)</f>
        <v/>
      </c>
      <c r="I32" s="9">
        <f>G32/(1+Supuestos!$B$5)</f>
        <v/>
      </c>
      <c r="J32" s="9">
        <f>-G32*Supuestos!$B$6-Supuestos!$B$7</f>
        <v/>
      </c>
      <c r="K32" s="9">
        <f>-Supuestos!$B$8</f>
        <v/>
      </c>
      <c r="L32" s="9">
        <f>-Supuestos!$B$9</f>
        <v/>
      </c>
      <c r="M32" s="9">
        <f>-Supuestos!$B$11*Supuestos!$B$12</f>
        <v/>
      </c>
      <c r="N32" s="9">
        <f>-I32*Supuestos!$B$10</f>
        <v/>
      </c>
      <c r="O32" s="7">
        <f>-F32+I32+J32+K32+L32+M32+N32</f>
        <v/>
      </c>
      <c r="P32" s="10">
        <f>IF(I32=0,0,O32/I32)</f>
        <v/>
      </c>
    </row>
    <row r="33">
      <c r="A33" t="inlineStr">
        <is>
          <t>PawB-14</t>
        </is>
      </c>
      <c r="B33" t="inlineStr">
        <is>
          <t>Cama tienda (iglú)</t>
        </is>
      </c>
      <c r="C33" t="inlineStr">
        <is>
          <t>58 × 58 × 48 cm · Beige y naranja</t>
        </is>
      </c>
      <c r="D33" t="inlineStr">
        <is>
          <t>Camas</t>
        </is>
      </c>
      <c r="E33" t="n">
        <v>650</v>
      </c>
      <c r="F33" s="9" t="n">
        <v>27.44</v>
      </c>
      <c r="G33" s="9" t="n">
        <v>57.9</v>
      </c>
      <c r="H33" s="9">
        <f>G33-G33/(1+Supuestos!$B$5)</f>
        <v/>
      </c>
      <c r="I33" s="9">
        <f>G33/(1+Supuestos!$B$5)</f>
        <v/>
      </c>
      <c r="J33" s="9">
        <f>-G33*Supuestos!$B$6-Supuestos!$B$7</f>
        <v/>
      </c>
      <c r="K33" s="9">
        <f>-Supuestos!$B$8</f>
        <v/>
      </c>
      <c r="L33" s="9">
        <f>-Supuestos!$B$9</f>
        <v/>
      </c>
      <c r="M33" s="9">
        <f>-Supuestos!$B$11*Supuestos!$B$12</f>
        <v/>
      </c>
      <c r="N33" s="9">
        <f>-I33*Supuestos!$B$10</f>
        <v/>
      </c>
      <c r="O33" s="7">
        <f>-F33+I33+J33+K33+L33+M33+N33</f>
        <v/>
      </c>
      <c r="P33" s="10">
        <f>IF(I33=0,0,O33/I33)</f>
        <v/>
      </c>
    </row>
    <row r="34">
      <c r="A34" t="inlineStr">
        <is>
          <t>PAWFB-09</t>
        </is>
      </c>
      <c r="B34" t="inlineStr">
        <is>
          <t>Filtros de repuesto para fuente</t>
        </is>
      </c>
      <c r="C34" t="inlineStr">
        <is>
          <t>Pack de 4 · compatible con la fuente GRANKHA</t>
        </is>
      </c>
      <c r="D34" t="inlineStr">
        <is>
          <t>Comederos y fuentes</t>
        </is>
      </c>
      <c r="E34" t="n">
        <v>160</v>
      </c>
      <c r="F34" s="9" t="n">
        <v>2.1</v>
      </c>
      <c r="G34" s="9" t="n">
        <v>18.9</v>
      </c>
      <c r="H34" s="9">
        <f>G34-G34/(1+Supuestos!$B$5)</f>
        <v/>
      </c>
      <c r="I34" s="9">
        <f>G34/(1+Supuestos!$B$5)</f>
        <v/>
      </c>
      <c r="J34" s="9">
        <f>-G34*Supuestos!$B$6-Supuestos!$B$7</f>
        <v/>
      </c>
      <c r="K34" s="9">
        <f>-Supuestos!$B$8</f>
        <v/>
      </c>
      <c r="L34" s="9">
        <f>-Supuestos!$B$9</f>
        <v/>
      </c>
      <c r="M34" s="9">
        <f>-Supuestos!$B$11*Supuestos!$B$12</f>
        <v/>
      </c>
      <c r="N34" s="9">
        <f>-I34*Supuestos!$B$10</f>
        <v/>
      </c>
      <c r="O34" s="7">
        <f>-F34+I34+J34+K34+L34+M34+N34</f>
        <v/>
      </c>
      <c r="P34" s="10">
        <f>IF(I34=0,0,O34/I34)</f>
        <v/>
      </c>
    </row>
    <row r="35">
      <c r="A35" t="inlineStr">
        <is>
          <t>PAWFB-08</t>
        </is>
      </c>
      <c r="B35" t="inlineStr">
        <is>
          <t>Fuente de agua eléctrica 2,5 L</t>
        </is>
      </c>
      <c r="C35" t="inlineStr">
        <is>
          <t>Acero inoxidable 304 · alimentación USB</t>
        </is>
      </c>
      <c r="D35" t="inlineStr">
        <is>
          <t>Comederos y fuentes</t>
        </is>
      </c>
      <c r="E35" t="n">
        <v>690</v>
      </c>
      <c r="F35" s="9" t="n">
        <v>28.5</v>
      </c>
      <c r="G35" s="9" t="n">
        <v>49.9</v>
      </c>
      <c r="H35" s="9">
        <f>G35-G35/(1+Supuestos!$B$5)</f>
        <v/>
      </c>
      <c r="I35" s="9">
        <f>G35/(1+Supuestos!$B$5)</f>
        <v/>
      </c>
      <c r="J35" s="9">
        <f>-G35*Supuestos!$B$6-Supuestos!$B$7</f>
        <v/>
      </c>
      <c r="K35" s="9">
        <f>-Supuestos!$B$8</f>
        <v/>
      </c>
      <c r="L35" s="9">
        <f>-Supuestos!$B$9</f>
        <v/>
      </c>
      <c r="M35" s="9">
        <f>-Supuestos!$B$11*Supuestos!$B$12</f>
        <v/>
      </c>
      <c r="N35" s="9">
        <f>-I35*Supuestos!$B$10</f>
        <v/>
      </c>
      <c r="O35" s="7">
        <f>-F35+I35+J35+K35+L35+M35+N35</f>
        <v/>
      </c>
      <c r="P35" s="10">
        <f>IF(I35=0,0,O35/I35)</f>
        <v/>
      </c>
    </row>
    <row r="36">
      <c r="A36" t="inlineStr">
        <is>
          <t>PAWFB-01</t>
        </is>
      </c>
      <c r="B36" t="inlineStr">
        <is>
          <t>Comedero estilo cobre</t>
        </is>
      </c>
      <c r="C36" t="inlineStr">
        <is>
          <t>Ø 18 cm · Acero inoxidable 304</t>
        </is>
      </c>
      <c r="D36" t="inlineStr">
        <is>
          <t>Comederos y fuentes</t>
        </is>
      </c>
      <c r="E36" t="n">
        <v>103</v>
      </c>
      <c r="F36" s="9" t="n">
        <v>4.5</v>
      </c>
      <c r="G36" s="9" t="n">
        <v>13.9</v>
      </c>
      <c r="H36" s="9">
        <f>G36-G36/(1+Supuestos!$B$5)</f>
        <v/>
      </c>
      <c r="I36" s="9">
        <f>G36/(1+Supuestos!$B$5)</f>
        <v/>
      </c>
      <c r="J36" s="9">
        <f>-G36*Supuestos!$B$6-Supuestos!$B$7</f>
        <v/>
      </c>
      <c r="K36" s="9">
        <f>-Supuestos!$B$8</f>
        <v/>
      </c>
      <c r="L36" s="9">
        <f>-Supuestos!$B$9</f>
        <v/>
      </c>
      <c r="M36" s="9">
        <f>-Supuestos!$B$11*Supuestos!$B$12</f>
        <v/>
      </c>
      <c r="N36" s="9">
        <f>-I36*Supuestos!$B$10</f>
        <v/>
      </c>
      <c r="O36" s="7">
        <f>-F36+I36+J36+K36+L36+M36+N36</f>
        <v/>
      </c>
      <c r="P36" s="10">
        <f>IF(I36=0,0,O36/I36)</f>
        <v/>
      </c>
    </row>
    <row r="37">
      <c r="A37" t="inlineStr">
        <is>
          <t>PAWFB-02</t>
        </is>
      </c>
      <c r="B37" t="inlineStr">
        <is>
          <t>Comedero estilo cobre grande</t>
        </is>
      </c>
      <c r="C37" t="inlineStr">
        <is>
          <t>Ø 22 cm · Acero inoxidable 304</t>
        </is>
      </c>
      <c r="D37" t="inlineStr">
        <is>
          <t>Comederos y fuentes</t>
        </is>
      </c>
      <c r="E37" t="n">
        <v>141</v>
      </c>
      <c r="F37" s="9" t="n">
        <v>5.25</v>
      </c>
      <c r="G37" s="9" t="n">
        <v>16.9</v>
      </c>
      <c r="H37" s="9">
        <f>G37-G37/(1+Supuestos!$B$5)</f>
        <v/>
      </c>
      <c r="I37" s="9">
        <f>G37/(1+Supuestos!$B$5)</f>
        <v/>
      </c>
      <c r="J37" s="9">
        <f>-G37*Supuestos!$B$6-Supuestos!$B$7</f>
        <v/>
      </c>
      <c r="K37" s="9">
        <f>-Supuestos!$B$8</f>
        <v/>
      </c>
      <c r="L37" s="9">
        <f>-Supuestos!$B$9</f>
        <v/>
      </c>
      <c r="M37" s="9">
        <f>-Supuestos!$B$11*Supuestos!$B$12</f>
        <v/>
      </c>
      <c r="N37" s="9">
        <f>-I37*Supuestos!$B$10</f>
        <v/>
      </c>
      <c r="O37" s="7">
        <f>-F37+I37+J37+K37+L37+M37+N37</f>
        <v/>
      </c>
      <c r="P37" s="10">
        <f>IF(I37=0,0,O37/I37)</f>
        <v/>
      </c>
    </row>
    <row r="38">
      <c r="A38" t="inlineStr">
        <is>
          <t>PAWFB-07</t>
        </is>
      </c>
      <c r="B38" t="inlineStr">
        <is>
          <t>Comedero para gatos con soporte</t>
        </is>
      </c>
      <c r="C38" t="inlineStr">
        <is>
          <t>Acero inoxidable 304 · cara de gato</t>
        </is>
      </c>
      <c r="D38" t="inlineStr">
        <is>
          <t>Comederos y fuentes</t>
        </is>
      </c>
      <c r="E38" t="n">
        <v>196</v>
      </c>
      <c r="F38" s="9" t="n">
        <v>6</v>
      </c>
      <c r="G38" s="9" t="n">
        <v>17.9</v>
      </c>
      <c r="H38" s="9">
        <f>G38-G38/(1+Supuestos!$B$5)</f>
        <v/>
      </c>
      <c r="I38" s="9">
        <f>G38/(1+Supuestos!$B$5)</f>
        <v/>
      </c>
      <c r="J38" s="9">
        <f>-G38*Supuestos!$B$6-Supuestos!$B$7</f>
        <v/>
      </c>
      <c r="K38" s="9">
        <f>-Supuestos!$B$8</f>
        <v/>
      </c>
      <c r="L38" s="9">
        <f>-Supuestos!$B$9</f>
        <v/>
      </c>
      <c r="M38" s="9">
        <f>-Supuestos!$B$11*Supuestos!$B$12</f>
        <v/>
      </c>
      <c r="N38" s="9">
        <f>-I38*Supuestos!$B$10</f>
        <v/>
      </c>
      <c r="O38" s="7">
        <f>-F38+I38+J38+K38+L38+M38+N38</f>
        <v/>
      </c>
      <c r="P38" s="10">
        <f>IF(I38=0,0,O38/I38)</f>
        <v/>
      </c>
    </row>
    <row r="39">
      <c r="A39" t="inlineStr">
        <is>
          <t>PAWFB-03</t>
        </is>
      </c>
      <c r="B39" t="inlineStr">
        <is>
          <t>Comedero de acero con soporte de madera</t>
        </is>
      </c>
      <c r="C39" t="inlineStr">
        <is>
          <t>Ø 12 cm · Acero 201 + madera natural</t>
        </is>
      </c>
      <c r="D39" t="inlineStr">
        <is>
          <t>Comederos y fuentes</t>
        </is>
      </c>
      <c r="E39" t="n">
        <v>243</v>
      </c>
      <c r="F39" s="9" t="n">
        <v>10.88</v>
      </c>
      <c r="G39" s="9" t="n">
        <v>26.9</v>
      </c>
      <c r="H39" s="9">
        <f>G39-G39/(1+Supuestos!$B$5)</f>
        <v/>
      </c>
      <c r="I39" s="9">
        <f>G39/(1+Supuestos!$B$5)</f>
        <v/>
      </c>
      <c r="J39" s="9">
        <f>-G39*Supuestos!$B$6-Supuestos!$B$7</f>
        <v/>
      </c>
      <c r="K39" s="9">
        <f>-Supuestos!$B$8</f>
        <v/>
      </c>
      <c r="L39" s="9">
        <f>-Supuestos!$B$9</f>
        <v/>
      </c>
      <c r="M39" s="9">
        <f>-Supuestos!$B$11*Supuestos!$B$12</f>
        <v/>
      </c>
      <c r="N39" s="9">
        <f>-I39*Supuestos!$B$10</f>
        <v/>
      </c>
      <c r="O39" s="7">
        <f>-F39+I39+J39+K39+L39+M39+N39</f>
        <v/>
      </c>
      <c r="P39" s="10">
        <f>IF(I39=0,0,O39/I39)</f>
        <v/>
      </c>
    </row>
    <row r="40">
      <c r="A40" t="inlineStr">
        <is>
          <t>PAWFB-06</t>
        </is>
      </c>
      <c r="B40" t="inlineStr">
        <is>
          <t>Comedero de cerámica con soporte de madera</t>
        </is>
      </c>
      <c r="C40" t="inlineStr">
        <is>
          <t>Ø 14 cm · Cerámica + madera</t>
        </is>
      </c>
      <c r="D40" t="inlineStr">
        <is>
          <t>Comederos y fuentes</t>
        </is>
      </c>
      <c r="E40" t="n">
        <v>799</v>
      </c>
      <c r="F40" s="9" t="n">
        <v>11.25</v>
      </c>
      <c r="G40" s="9" t="n">
        <v>29.9</v>
      </c>
      <c r="H40" s="9">
        <f>G40-G40/(1+Supuestos!$B$5)</f>
        <v/>
      </c>
      <c r="I40" s="9">
        <f>G40/(1+Supuestos!$B$5)</f>
        <v/>
      </c>
      <c r="J40" s="9">
        <f>-G40*Supuestos!$B$6-Supuestos!$B$7</f>
        <v/>
      </c>
      <c r="K40" s="9">
        <f>-Supuestos!$B$8</f>
        <v/>
      </c>
      <c r="L40" s="9">
        <f>-Supuestos!$B$9</f>
        <v/>
      </c>
      <c r="M40" s="9">
        <f>-Supuestos!$B$11*Supuestos!$B$12</f>
        <v/>
      </c>
      <c r="N40" s="9">
        <f>-I40*Supuestos!$B$10</f>
        <v/>
      </c>
      <c r="O40" s="7">
        <f>-F40+I40+J40+K40+L40+M40+N40</f>
        <v/>
      </c>
      <c r="P40" s="10">
        <f>IF(I40=0,0,O40/I40)</f>
        <v/>
      </c>
    </row>
    <row r="41">
      <c r="A41" t="inlineStr">
        <is>
          <t>PAWFB-04</t>
        </is>
      </c>
      <c r="B41" t="inlineStr">
        <is>
          <t>Comedero doble con soporte de madera</t>
        </is>
      </c>
      <c r="C41" t="inlineStr">
        <is>
          <t>2 × 12 cm · Acero 201 + madera</t>
        </is>
      </c>
      <c r="D41" t="inlineStr">
        <is>
          <t>Comederos y fuentes</t>
        </is>
      </c>
      <c r="E41" t="n">
        <v>450</v>
      </c>
      <c r="F41" s="9" t="n">
        <v>17.25</v>
      </c>
      <c r="G41" s="9" t="n">
        <v>39.9</v>
      </c>
      <c r="H41" s="9">
        <f>G41-G41/(1+Supuestos!$B$5)</f>
        <v/>
      </c>
      <c r="I41" s="9">
        <f>G41/(1+Supuestos!$B$5)</f>
        <v/>
      </c>
      <c r="J41" s="9">
        <f>-G41*Supuestos!$B$6-Supuestos!$B$7</f>
        <v/>
      </c>
      <c r="K41" s="9">
        <f>-Supuestos!$B$8</f>
        <v/>
      </c>
      <c r="L41" s="9">
        <f>-Supuestos!$B$9</f>
        <v/>
      </c>
      <c r="M41" s="9">
        <f>-Supuestos!$B$11*Supuestos!$B$12</f>
        <v/>
      </c>
      <c r="N41" s="9">
        <f>-I41*Supuestos!$B$10</f>
        <v/>
      </c>
      <c r="O41" s="7">
        <f>-F41+I41+J41+K41+L41+M41+N41</f>
        <v/>
      </c>
      <c r="P41" s="10">
        <f>IF(I41=0,0,O41/I41)</f>
        <v/>
      </c>
    </row>
    <row r="42">
      <c r="A42" t="inlineStr">
        <is>
          <t>PAWFB-05</t>
        </is>
      </c>
      <c r="B42" t="inlineStr">
        <is>
          <t>Comedero doble grande con soporte de madera</t>
        </is>
      </c>
      <c r="C42" t="inlineStr">
        <is>
          <t>2 × 13 cm · Acero 201 + madera</t>
        </is>
      </c>
      <c r="D42" t="inlineStr">
        <is>
          <t>Comederos y fuentes</t>
        </is>
      </c>
      <c r="E42" t="n">
        <v>1020</v>
      </c>
      <c r="F42" s="9" t="n">
        <v>21</v>
      </c>
      <c r="G42" s="9" t="n">
        <v>44.9</v>
      </c>
      <c r="H42" s="9">
        <f>G42-G42/(1+Supuestos!$B$5)</f>
        <v/>
      </c>
      <c r="I42" s="9">
        <f>G42/(1+Supuestos!$B$5)</f>
        <v/>
      </c>
      <c r="J42" s="9">
        <f>-G42*Supuestos!$B$6-Supuestos!$B$7</f>
        <v/>
      </c>
      <c r="K42" s="9">
        <f>-Supuestos!$B$8</f>
        <v/>
      </c>
      <c r="L42" s="9">
        <f>-Supuestos!$B$9</f>
        <v/>
      </c>
      <c r="M42" s="9">
        <f>-Supuestos!$B$11*Supuestos!$B$12</f>
        <v/>
      </c>
      <c r="N42" s="9">
        <f>-I42*Supuestos!$B$10</f>
        <v/>
      </c>
      <c r="O42" s="7">
        <f>-F42+I42+J42+K42+L42+M42+N42</f>
        <v/>
      </c>
      <c r="P42" s="10">
        <f>IF(I42=0,0,O42/I42)</f>
        <v/>
      </c>
    </row>
    <row r="43">
      <c r="A43" t="inlineStr">
        <is>
          <t>PACK-02</t>
        </is>
      </c>
      <c r="B43" t="inlineStr">
        <is>
          <t>Pack Paseo Guardian XS</t>
        </is>
      </c>
      <c r="C43" t="inlineStr">
        <is>
          <t>Pack de 2 piezas</t>
        </is>
      </c>
      <c r="D43" t="inlineStr">
        <is>
          <t>Packs</t>
        </is>
      </c>
      <c r="E43" t="n">
        <v>232</v>
      </c>
      <c r="F43" s="9" t="n">
        <v>34.38</v>
      </c>
      <c r="G43" s="9" t="n">
        <v>62.9</v>
      </c>
      <c r="H43" s="9">
        <f>G43-G43/(1+Supuestos!$B$5)</f>
        <v/>
      </c>
      <c r="I43" s="9">
        <f>G43/(1+Supuestos!$B$5)</f>
        <v/>
      </c>
      <c r="J43" s="9">
        <f>-G43*Supuestos!$B$6-Supuestos!$B$7</f>
        <v/>
      </c>
      <c r="K43" s="9">
        <f>-Supuestos!$B$8</f>
        <v/>
      </c>
      <c r="L43" s="9">
        <f>-Supuestos!$B$9</f>
        <v/>
      </c>
      <c r="M43" s="9">
        <f>-Supuestos!$B$11*Supuestos!$B$12</f>
        <v/>
      </c>
      <c r="N43" s="9">
        <f>-I43*Supuestos!$B$10</f>
        <v/>
      </c>
      <c r="O43" s="7">
        <f>-F43+I43+J43+K43+L43+M43+N43</f>
        <v/>
      </c>
      <c r="P43" s="10">
        <f>IF(I43=0,0,O43/I43)</f>
        <v/>
      </c>
    </row>
    <row r="44">
      <c r="A44" t="inlineStr">
        <is>
          <t>PACK-01</t>
        </is>
      </c>
      <c r="B44" t="inlineStr">
        <is>
          <t>Pack Paseo Guardian S</t>
        </is>
      </c>
      <c r="C44" t="inlineStr">
        <is>
          <t>Pack de 2 piezas</t>
        </is>
      </c>
      <c r="D44" t="inlineStr">
        <is>
          <t>Packs</t>
        </is>
      </c>
      <c r="E44" t="n">
        <v>309</v>
      </c>
      <c r="F44" s="9" t="n">
        <v>37.38</v>
      </c>
      <c r="G44" s="9" t="n">
        <v>66.90000000000001</v>
      </c>
      <c r="H44" s="9">
        <f>G44-G44/(1+Supuestos!$B$5)</f>
        <v/>
      </c>
      <c r="I44" s="9">
        <f>G44/(1+Supuestos!$B$5)</f>
        <v/>
      </c>
      <c r="J44" s="9">
        <f>-G44*Supuestos!$B$6-Supuestos!$B$7</f>
        <v/>
      </c>
      <c r="K44" s="9">
        <f>-Supuestos!$B$8</f>
        <v/>
      </c>
      <c r="L44" s="9">
        <f>-Supuestos!$B$9</f>
        <v/>
      </c>
      <c r="M44" s="9">
        <f>-Supuestos!$B$11*Supuestos!$B$12</f>
        <v/>
      </c>
      <c r="N44" s="9">
        <f>-I44*Supuestos!$B$10</f>
        <v/>
      </c>
      <c r="O44" s="7">
        <f>-F44+I44+J44+K44+L44+M44+N44</f>
        <v/>
      </c>
      <c r="P44" s="10">
        <f>IF(I44=0,0,O44/I44)</f>
        <v/>
      </c>
    </row>
    <row r="45">
      <c r="A45" t="inlineStr">
        <is>
          <t>PACK-04</t>
        </is>
      </c>
      <c r="B45" t="inlineStr">
        <is>
          <t>Pack Descanso</t>
        </is>
      </c>
      <c r="C45" t="inlineStr">
        <is>
          <t>Pack de 2 piezas</t>
        </is>
      </c>
      <c r="D45" t="inlineStr">
        <is>
          <t>Packs</t>
        </is>
      </c>
      <c r="E45" t="n">
        <v>1243</v>
      </c>
      <c r="F45" s="9" t="n">
        <v>32.19</v>
      </c>
      <c r="G45" s="9" t="n">
        <v>66.90000000000001</v>
      </c>
      <c r="H45" s="9">
        <f>G45-G45/(1+Supuestos!$B$5)</f>
        <v/>
      </c>
      <c r="I45" s="9">
        <f>G45/(1+Supuestos!$B$5)</f>
        <v/>
      </c>
      <c r="J45" s="9">
        <f>-G45*Supuestos!$B$6-Supuestos!$B$7</f>
        <v/>
      </c>
      <c r="K45" s="9">
        <f>-Supuestos!$B$8</f>
        <v/>
      </c>
      <c r="L45" s="9">
        <f>-Supuestos!$B$9</f>
        <v/>
      </c>
      <c r="M45" s="9">
        <f>-Supuestos!$B$11*Supuestos!$B$12</f>
        <v/>
      </c>
      <c r="N45" s="9">
        <f>-I45*Supuestos!$B$10</f>
        <v/>
      </c>
      <c r="O45" s="7">
        <f>-F45+I45+J45+K45+L45+M45+N45</f>
        <v/>
      </c>
      <c r="P45" s="10">
        <f>IF(I45=0,0,O45/I45)</f>
        <v/>
      </c>
    </row>
    <row r="46">
      <c r="A46" t="inlineStr">
        <is>
          <t>PACK-03</t>
        </is>
      </c>
      <c r="B46" t="inlineStr">
        <is>
          <t>Pack Primeros Días Gato</t>
        </is>
      </c>
      <c r="C46" t="inlineStr">
        <is>
          <t>Pack de 3 piezas</t>
        </is>
      </c>
      <c r="D46" t="inlineStr">
        <is>
          <t>Packs</t>
        </is>
      </c>
      <c r="E46" t="n">
        <v>1046</v>
      </c>
      <c r="F46" s="9" t="n">
        <v>36.6</v>
      </c>
      <c r="G46" s="9" t="n">
        <v>78.90000000000001</v>
      </c>
      <c r="H46" s="9">
        <f>G46-G46/(1+Supuestos!$B$5)</f>
        <v/>
      </c>
      <c r="I46" s="9">
        <f>G46/(1+Supuestos!$B$5)</f>
        <v/>
      </c>
      <c r="J46" s="9">
        <f>-G46*Supuestos!$B$6-Supuestos!$B$7</f>
        <v/>
      </c>
      <c r="K46" s="9">
        <f>-Supuestos!$B$8</f>
        <v/>
      </c>
      <c r="L46" s="9">
        <f>-Supuestos!$B$9</f>
        <v/>
      </c>
      <c r="M46" s="9">
        <f>-Supuestos!$B$11*Supuestos!$B$12</f>
        <v/>
      </c>
      <c r="N46" s="9">
        <f>-I46*Supuestos!$B$10</f>
        <v/>
      </c>
      <c r="O46" s="7">
        <f>-F46+I46+J46+K46+L46+M46+N46</f>
        <v/>
      </c>
      <c r="P46" s="10">
        <f>IF(I46=0,0,O46/I46)</f>
        <v/>
      </c>
    </row>
    <row r="47">
      <c r="A47" t="inlineStr">
        <is>
          <t>PACK-06</t>
        </is>
      </c>
      <c r="B47" t="inlineStr">
        <is>
          <t>Pack Hidratación</t>
        </is>
      </c>
      <c r="C47" t="inlineStr">
        <is>
          <t>Pack de 2 piezas</t>
        </is>
      </c>
      <c r="D47" t="inlineStr">
        <is>
          <t>Packs</t>
        </is>
      </c>
      <c r="E47" t="n">
        <v>1010</v>
      </c>
      <c r="F47" s="9" t="n">
        <v>32.7</v>
      </c>
      <c r="G47" s="9" t="n">
        <v>80.90000000000001</v>
      </c>
      <c r="H47" s="9">
        <f>G47-G47/(1+Supuestos!$B$5)</f>
        <v/>
      </c>
      <c r="I47" s="9">
        <f>G47/(1+Supuestos!$B$5)</f>
        <v/>
      </c>
      <c r="J47" s="9">
        <f>-G47*Supuestos!$B$6-Supuestos!$B$7</f>
        <v/>
      </c>
      <c r="K47" s="9">
        <f>-Supuestos!$B$8</f>
        <v/>
      </c>
      <c r="L47" s="9">
        <f>-Supuestos!$B$9</f>
        <v/>
      </c>
      <c r="M47" s="9">
        <f>-Supuestos!$B$11*Supuestos!$B$12</f>
        <v/>
      </c>
      <c r="N47" s="9">
        <f>-I47*Supuestos!$B$10</f>
        <v/>
      </c>
      <c r="O47" s="7">
        <f>-F47+I47+J47+K47+L47+M47+N47</f>
        <v/>
      </c>
      <c r="P47" s="10">
        <f>IF(I47=0,0,O47/I47)</f>
        <v/>
      </c>
    </row>
    <row r="48">
      <c r="A48" t="inlineStr">
        <is>
          <t>PACK-05</t>
        </is>
      </c>
      <c r="B48" t="inlineStr">
        <is>
          <t>Pack Hogar Real</t>
        </is>
      </c>
      <c r="C48" t="inlineStr">
        <is>
          <t>Pack de 2 piezas</t>
        </is>
      </c>
      <c r="D48" t="inlineStr">
        <is>
          <t>Packs</t>
        </is>
      </c>
      <c r="E48" t="n">
        <v>2020</v>
      </c>
      <c r="F48" s="9" t="n">
        <v>42.75</v>
      </c>
      <c r="G48" s="9" t="n">
        <v>84.90000000000001</v>
      </c>
      <c r="H48" s="9">
        <f>G48-G48/(1+Supuestos!$B$5)</f>
        <v/>
      </c>
      <c r="I48" s="9">
        <f>G48/(1+Supuestos!$B$5)</f>
        <v/>
      </c>
      <c r="J48" s="9">
        <f>-G48*Supuestos!$B$6-Supuestos!$B$7</f>
        <v/>
      </c>
      <c r="K48" s="9">
        <f>-Supuestos!$B$8</f>
        <v/>
      </c>
      <c r="L48" s="9">
        <f>-Supuestos!$B$9</f>
        <v/>
      </c>
      <c r="M48" s="9">
        <f>-Supuestos!$B$11*Supuestos!$B$12</f>
        <v/>
      </c>
      <c r="N48" s="9">
        <f>-I48*Supuestos!$B$10</f>
        <v/>
      </c>
      <c r="O48" s="7">
        <f>-F48+I48+J48+K48+L48+M48+N48</f>
        <v/>
      </c>
      <c r="P48" s="10">
        <f>IF(I48=0,0,O48/I48)</f>
        <v/>
      </c>
    </row>
    <row r="50">
      <c r="N50" s="6" t="inlineStr">
        <is>
          <t>Beneficio medio</t>
        </is>
      </c>
      <c r="O50" s="9">
        <f>AVERAGE(O5:O48)</f>
        <v/>
      </c>
    </row>
    <row r="51">
      <c r="N51" s="6" t="inlineStr">
        <is>
          <t>Margen medio</t>
        </is>
      </c>
      <c r="O51" s="10">
        <f>AVERAGE(P5:P48)</f>
        <v/>
      </c>
    </row>
    <row r="53">
      <c r="B53" s="2" t="inlineStr">
        <is>
          <t>Nota: si un producto tiene beneficio negativo, súbelo de precio o retíralo. Los artículos de bajo importe suelen necesitar venta cruzada (2-3 uds. por pedido) para compensar el coste fijo del envío y de Stripe.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6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Cuenta de resultados de un pedido tipo</t>
        </is>
      </c>
    </row>
    <row r="2">
      <c r="A2" s="2" t="inlineStr">
        <is>
          <t>Edita cantidades y el envío cobrado (amarillo).</t>
        </is>
      </c>
    </row>
    <row r="4">
      <c r="A4" s="3" t="inlineStr">
        <is>
          <t>Producto</t>
        </is>
      </c>
      <c r="B4" s="3" t="inlineStr">
        <is>
          <t>Cantidad</t>
        </is>
      </c>
      <c r="C4" s="3" t="inlineStr">
        <is>
          <t>PVP ud. (IVA incl.)</t>
        </is>
      </c>
      <c r="D4" s="3" t="inlineStr">
        <is>
          <t>Coste ud.</t>
        </is>
      </c>
      <c r="E4" s="3" t="inlineStr">
        <is>
          <t>Subtotal venta</t>
        </is>
      </c>
      <c r="F4" s="3" t="inlineStr">
        <is>
          <t>Coste total</t>
        </is>
      </c>
    </row>
    <row r="5">
      <c r="A5" t="inlineStr">
        <is>
          <t>PAWH-01 · Arnés de paso Guardian · XS (2-4 kg) · Rosa suave · Cuarzo rosa</t>
        </is>
      </c>
      <c r="B5" s="11" t="n">
        <v>1</v>
      </c>
      <c r="C5" s="9" t="n">
        <v>36.9</v>
      </c>
      <c r="D5" s="9" t="n">
        <v>18.63</v>
      </c>
      <c r="E5" s="9">
        <f>B5*C5</f>
        <v/>
      </c>
      <c r="F5" s="9">
        <f>B5*D5</f>
        <v/>
      </c>
    </row>
    <row r="6">
      <c r="A6" t="inlineStr">
        <is>
          <t>PawL-01 · Correa Pocket Pod · Rosa · 1,5 m</t>
        </is>
      </c>
      <c r="B6" s="11" t="n">
        <v>1</v>
      </c>
      <c r="C6" s="9" t="n">
        <v>21.9</v>
      </c>
      <c r="D6" s="9" t="n">
        <v>12</v>
      </c>
      <c r="E6" s="9">
        <f>B6*C6</f>
        <v/>
      </c>
      <c r="F6" s="9">
        <f>B6*D6</f>
        <v/>
      </c>
    </row>
    <row r="7">
      <c r="A7" t="inlineStr">
        <is>
          <t>PAWFB-01 · Comedero estilo cobre · Ø 18 cm · Acero inoxidable 304</t>
        </is>
      </c>
      <c r="B7" s="11" t="n">
        <v>1</v>
      </c>
      <c r="C7" s="9" t="n">
        <v>13.9</v>
      </c>
      <c r="D7" s="9" t="n">
        <v>4.5</v>
      </c>
      <c r="E7" s="9">
        <f>B7*C7</f>
        <v/>
      </c>
      <c r="F7" s="9">
        <f>B7*D7</f>
        <v/>
      </c>
    </row>
    <row r="8">
      <c r="D8" s="6" t="inlineStr">
        <is>
          <t>Subtotal (IVA incl.)</t>
        </is>
      </c>
      <c r="E8" s="7">
        <f>SUM(E5:E7)</f>
        <v/>
      </c>
      <c r="F8" s="7">
        <f>SUM(F5:F7)</f>
        <v/>
      </c>
    </row>
    <row r="9">
      <c r="D9" t="inlineStr">
        <is>
          <t>Envío cobrado al cliente</t>
        </is>
      </c>
      <c r="E9" s="5" t="n">
        <v>5.95</v>
      </c>
    </row>
    <row r="10">
      <c r="D10" s="6" t="inlineStr">
        <is>
          <t>TOTAL COBRADO</t>
        </is>
      </c>
      <c r="E10" s="7">
        <f>E8+E9</f>
        <v/>
      </c>
    </row>
    <row r="12">
      <c r="A12" s="1" t="inlineStr">
        <is>
          <t>Cuenta de resultados</t>
        </is>
      </c>
    </row>
    <row r="13">
      <c r="A13" t="inlineStr">
        <is>
          <t>Ingresos (venta sin IVA)</t>
        </is>
      </c>
      <c r="B13" s="9">
        <f>E8/(1+Supuestos!$B$5)</f>
        <v/>
      </c>
    </row>
    <row r="14">
      <c r="A14" t="inlineStr">
        <is>
          <t>Envío cobrado al cliente</t>
        </is>
      </c>
      <c r="B14" s="9">
        <f>E9</f>
        <v/>
      </c>
    </row>
    <row r="15">
      <c r="A15" t="inlineStr">
        <is>
          <t>Coste de los productos</t>
        </is>
      </c>
      <c r="B15" s="9">
        <f>-F8</f>
        <v/>
      </c>
    </row>
    <row r="16">
      <c r="A16" t="inlineStr">
        <is>
          <t>Envío pagado al proveedor</t>
        </is>
      </c>
      <c r="B16" s="9">
        <f>-Supuestos!$B$8</f>
        <v/>
      </c>
    </row>
    <row r="17">
      <c r="A17" t="inlineStr">
        <is>
          <t>Embalaje / manipulación</t>
        </is>
      </c>
      <c r="B17" s="9">
        <f>-Supuestos!$B$9</f>
        <v/>
      </c>
    </row>
    <row r="18">
      <c r="A18" t="inlineStr">
        <is>
          <t>Comisión Stripe</t>
        </is>
      </c>
      <c r="B18" s="9">
        <f>-E10*Supuestos!$B$6-Supuestos!$B$7</f>
        <v/>
      </c>
    </row>
    <row r="19">
      <c r="A19" t="inlineStr">
        <is>
          <t>Provisión devoluciones</t>
        </is>
      </c>
      <c r="B19" s="9">
        <f>-Supuestos!$B$11*Supuestos!$B$12</f>
        <v/>
      </c>
    </row>
    <row r="20">
      <c r="A20" t="inlineStr">
        <is>
          <t>Donación a investigación</t>
        </is>
      </c>
      <c r="B20" s="9">
        <f>-E8/(1+Supuestos!$B$5)*Supuestos!$B$10</f>
        <v/>
      </c>
    </row>
    <row r="21">
      <c r="A21" s="12" t="inlineStr">
        <is>
          <t>BENEFICIO DEL PEDIDO</t>
        </is>
      </c>
      <c r="B21" s="13">
        <f>SUM(B13:B20)</f>
        <v/>
      </c>
    </row>
    <row r="22">
      <c r="A22" t="inlineStr">
        <is>
          <t>Margen sobre ventas sin IVA</t>
        </is>
      </c>
      <c r="B22" s="10">
        <f>B21/(E8/(1+Supuestos!$B$5))</f>
        <v/>
      </c>
    </row>
    <row r="24">
      <c r="A24" s="6" t="inlineStr">
        <is>
          <t>Variante: el pedido supera el envío gratis (tú pagas el envío del cliente)</t>
        </is>
      </c>
      <c r="B24" s="9">
        <f>B21-E9</f>
        <v/>
      </c>
    </row>
    <row r="26">
      <c r="A26" s="2" t="inlineStr">
        <is>
          <t>Usa esta hoja para decidir el umbral de envío gratis: comprueba qué queda en el bolsillo cuando lo asumes tú, y cuánto sube el ticket medio por la venta cruzada.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5" customWidth="1" min="1" max="1"/>
    <col width="16" customWidth="1" min="2" max="2"/>
  </cols>
  <sheetData>
    <row r="1">
      <c r="A1" s="1" t="inlineStr">
        <is>
          <t>¿Cuántas ventas necesito al mes?</t>
        </is>
      </c>
    </row>
    <row r="2">
      <c r="A2" s="2" t="inlineStr">
        <is>
          <t>Basado en el beneficio del pedido ejemplo (hoja anterior).</t>
        </is>
      </c>
    </row>
    <row r="4">
      <c r="A4" t="inlineStr">
        <is>
          <t>Beneficio por pedido (ejemplo)</t>
        </is>
      </c>
      <c r="B4" s="9">
        <f>'Pedido ejemplo'!B21</f>
        <v/>
      </c>
    </row>
    <row r="5">
      <c r="A5" t="inlineStr">
        <is>
          <t>Costes fijos mensuales</t>
        </is>
      </c>
      <c r="B5" s="9">
        <f>Supuestos!$B$19</f>
        <v/>
      </c>
    </row>
    <row r="6">
      <c r="A6" t="inlineStr">
        <is>
          <t>Pedidos/mes para cubrir costes fijos</t>
        </is>
      </c>
      <c r="B6" s="14">
        <f>IF(B4&lt;=0,"—",B5/B4)</f>
        <v/>
      </c>
    </row>
    <row r="7">
      <c r="A7" t="inlineStr">
        <is>
          <t>CAC objetivo por cliente</t>
        </is>
      </c>
      <c r="B7" s="9">
        <f>Supuestos!$B$13</f>
        <v/>
      </c>
    </row>
    <row r="8">
      <c r="A8" t="inlineStr">
        <is>
          <t>Pedidos/mes para cubrir fijos + CAC</t>
        </is>
      </c>
      <c r="B8" s="14">
        <f>IF(B4&lt;=B7,"—",B5/(B4-B7))</f>
        <v/>
      </c>
    </row>
    <row r="9">
      <c r="A9" t="inlineStr">
        <is>
          <t>Ejemplo: 100 pedidos/mes (beneficio antes de fijos)</t>
        </is>
      </c>
      <c r="B9" s="9">
        <f>100*(B4-B7)-B5</f>
        <v/>
      </c>
    </row>
    <row r="10">
      <c r="A10" t="inlineStr">
        <is>
          <t>Ejemplo: 250 pedidos/mes (beneficio antes de fijos)</t>
        </is>
      </c>
      <c r="B10" s="9">
        <f>250*(B4-B7)-B5</f>
        <v/>
      </c>
    </row>
    <row r="12">
      <c r="A12" s="15" t="inlineStr">
        <is>
          <t>Si el beneficio por pedido es menor que el CAC, cada venta pierde dinero: sube el ticket medio (packs de arnés + correa, envío gratis desde 49 €) o mejora el margen negociando precios con el proveedor.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2026-10-15T20:01:41Z</dcterms:created>
  <dcterms:modified xmlns:dcterms="http://purl.org/dc/terms/" xmlns:xsi="http://www.w3.org/2001/XMLSchema-instance" xsi:type="dcterms:W3CDTF">2026-10-15T20:01:41Z</dcterms:modified>
</cp:coreProperties>
</file>